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SPATIH.VW\Downloads\energa-irradiance-pv-automation-master\energa-irradiance-pv-automation-master\xlsx_files\Szwagros\"/>
    </mc:Choice>
  </mc:AlternateContent>
  <xr:revisionPtr revIDLastSave="0" documentId="13_ncr:1_{DF16A8F2-DE94-417C-91AC-FD4034859FF9}" xr6:coauthVersionLast="47" xr6:coauthVersionMax="47" xr10:uidLastSave="{00000000-0000-0000-0000-000000000000}"/>
  <bookViews>
    <workbookView xWindow="-14175" yWindow="-18120" windowWidth="29040" windowHeight="17520" firstSheet="2" activeTab="2" xr2:uid="{00000000-000D-0000-FFFF-FFFF00000000}"/>
  </bookViews>
  <sheets>
    <sheet name="Arkusz2" sheetId="1" state="hidden" r:id="rId1"/>
    <sheet name="Arkusz3" sheetId="2" state="hidden" r:id="rId2"/>
    <sheet name="Grafiki generacji" sheetId="3" r:id="rId3"/>
    <sheet name="Dan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2" l="1"/>
  <c r="K5" i="2"/>
  <c r="G5" i="2"/>
  <c r="C5" i="2"/>
  <c r="G25" i="1"/>
  <c r="Z3" i="2" s="1"/>
  <c r="D25" i="1"/>
  <c r="I25" i="1" s="1"/>
  <c r="C25" i="1"/>
  <c r="B25" i="1"/>
  <c r="I24" i="1"/>
  <c r="Y5" i="2" s="1"/>
  <c r="D24" i="1"/>
  <c r="C24" i="1"/>
  <c r="B24" i="1"/>
  <c r="G24" i="1" s="1"/>
  <c r="G23" i="1"/>
  <c r="X3" i="2" s="1"/>
  <c r="D23" i="1"/>
  <c r="I23" i="1" s="1"/>
  <c r="C23" i="1"/>
  <c r="B23" i="1"/>
  <c r="I22" i="1"/>
  <c r="W5" i="2" s="1"/>
  <c r="D22" i="1"/>
  <c r="C22" i="1"/>
  <c r="B22" i="1"/>
  <c r="G22" i="1" s="1"/>
  <c r="G21" i="1"/>
  <c r="V3" i="2" s="1"/>
  <c r="D21" i="1"/>
  <c r="I21" i="1" s="1"/>
  <c r="C21" i="1"/>
  <c r="B21" i="1"/>
  <c r="I20" i="1"/>
  <c r="U5" i="2" s="1"/>
  <c r="D20" i="1"/>
  <c r="C20" i="1"/>
  <c r="B20" i="1"/>
  <c r="G20" i="1" s="1"/>
  <c r="G19" i="1"/>
  <c r="T3" i="2" s="1"/>
  <c r="D19" i="1"/>
  <c r="I19" i="1" s="1"/>
  <c r="C19" i="1"/>
  <c r="B19" i="1"/>
  <c r="I18" i="1"/>
  <c r="S5" i="2" s="1"/>
  <c r="D18" i="1"/>
  <c r="C18" i="1"/>
  <c r="B18" i="1"/>
  <c r="G18" i="1" s="1"/>
  <c r="G17" i="1"/>
  <c r="R3" i="2" s="1"/>
  <c r="D17" i="1"/>
  <c r="I17" i="1" s="1"/>
  <c r="C17" i="1"/>
  <c r="B17" i="1"/>
  <c r="I16" i="1"/>
  <c r="Q5" i="2" s="1"/>
  <c r="D16" i="1"/>
  <c r="C16" i="1"/>
  <c r="B16" i="1"/>
  <c r="G16" i="1" s="1"/>
  <c r="G15" i="1"/>
  <c r="P3" i="2" s="1"/>
  <c r="D15" i="1"/>
  <c r="I15" i="1" s="1"/>
  <c r="C15" i="1"/>
  <c r="B15" i="1"/>
  <c r="I14" i="1"/>
  <c r="D14" i="1"/>
  <c r="C14" i="1"/>
  <c r="B14" i="1"/>
  <c r="G14" i="1" s="1"/>
  <c r="G13" i="1"/>
  <c r="N3" i="2" s="1"/>
  <c r="D13" i="1"/>
  <c r="I13" i="1" s="1"/>
  <c r="C13" i="1"/>
  <c r="B13" i="1"/>
  <c r="I12" i="1"/>
  <c r="M5" i="2" s="1"/>
  <c r="D12" i="1"/>
  <c r="C12" i="1"/>
  <c r="B12" i="1"/>
  <c r="G12" i="1" s="1"/>
  <c r="G11" i="1"/>
  <c r="L3" i="2" s="1"/>
  <c r="D11" i="1"/>
  <c r="I11" i="1" s="1"/>
  <c r="C11" i="1"/>
  <c r="B11" i="1"/>
  <c r="I10" i="1"/>
  <c r="D10" i="1"/>
  <c r="C10" i="1"/>
  <c r="B10" i="1"/>
  <c r="G10" i="1" s="1"/>
  <c r="G9" i="1"/>
  <c r="J3" i="2" s="1"/>
  <c r="D9" i="1"/>
  <c r="I9" i="1" s="1"/>
  <c r="C9" i="1"/>
  <c r="B9" i="1"/>
  <c r="I8" i="1"/>
  <c r="I5" i="2" s="1"/>
  <c r="D8" i="1"/>
  <c r="C8" i="1"/>
  <c r="B8" i="1"/>
  <c r="G8" i="1" s="1"/>
  <c r="G7" i="1"/>
  <c r="H3" i="2" s="1"/>
  <c r="D7" i="1"/>
  <c r="I7" i="1" s="1"/>
  <c r="C7" i="1"/>
  <c r="B7" i="1"/>
  <c r="I6" i="1"/>
  <c r="D6" i="1"/>
  <c r="C6" i="1"/>
  <c r="B6" i="1"/>
  <c r="G6" i="1" s="1"/>
  <c r="G5" i="1"/>
  <c r="F3" i="2" s="1"/>
  <c r="D5" i="1"/>
  <c r="I5" i="1" s="1"/>
  <c r="C5" i="1"/>
  <c r="B5" i="1"/>
  <c r="I4" i="1"/>
  <c r="E5" i="2" s="1"/>
  <c r="D4" i="1"/>
  <c r="C4" i="1"/>
  <c r="B4" i="1"/>
  <c r="G4" i="1" s="1"/>
  <c r="G3" i="1"/>
  <c r="D3" i="2" s="1"/>
  <c r="D3" i="1"/>
  <c r="I3" i="1" s="1"/>
  <c r="C3" i="1"/>
  <c r="B3" i="1"/>
  <c r="I2" i="1"/>
  <c r="D2" i="1"/>
  <c r="C2" i="1"/>
  <c r="B2" i="1"/>
  <c r="G2" i="1" s="1"/>
  <c r="H11" i="1" l="1"/>
  <c r="L5" i="2"/>
  <c r="L4" i="2" s="1"/>
  <c r="E4" i="2"/>
  <c r="H5" i="2"/>
  <c r="H4" i="2" s="1"/>
  <c r="H7" i="1"/>
  <c r="H13" i="1"/>
  <c r="N5" i="2"/>
  <c r="N4" i="2" s="1"/>
  <c r="P5" i="2"/>
  <c r="P4" i="2" s="1"/>
  <c r="H15" i="1"/>
  <c r="R5" i="2"/>
  <c r="R4" i="2" s="1"/>
  <c r="H17" i="1"/>
  <c r="H19" i="1"/>
  <c r="T5" i="2"/>
  <c r="T4" i="2" s="1"/>
  <c r="H21" i="1"/>
  <c r="V5" i="2"/>
  <c r="V4" i="2" s="1"/>
  <c r="X5" i="2"/>
  <c r="X4" i="2" s="1"/>
  <c r="H23" i="1"/>
  <c r="Z5" i="2"/>
  <c r="Z4" i="2" s="1"/>
  <c r="H25" i="1"/>
  <c r="J5" i="2"/>
  <c r="J4" i="2" s="1"/>
  <c r="H9" i="1"/>
  <c r="G3" i="2"/>
  <c r="G4" i="2" s="1"/>
  <c r="H6" i="1"/>
  <c r="H10" i="1"/>
  <c r="K3" i="2"/>
  <c r="K4" i="2" s="1"/>
  <c r="O3" i="2"/>
  <c r="O4" i="2" s="1"/>
  <c r="H14" i="1"/>
  <c r="H18" i="1"/>
  <c r="S3" i="2"/>
  <c r="W3" i="2"/>
  <c r="W4" i="2" s="1"/>
  <c r="H22" i="1"/>
  <c r="H5" i="1"/>
  <c r="F5" i="2"/>
  <c r="F4" i="2" s="1"/>
  <c r="H2" i="1"/>
  <c r="C3" i="2"/>
  <c r="C4" i="2" s="1"/>
  <c r="E3" i="2"/>
  <c r="H4" i="1"/>
  <c r="I3" i="2"/>
  <c r="I4" i="2" s="1"/>
  <c r="H8" i="1"/>
  <c r="M3" i="2"/>
  <c r="M4" i="2" s="1"/>
  <c r="H12" i="1"/>
  <c r="Q3" i="2"/>
  <c r="H16" i="1"/>
  <c r="U3" i="2"/>
  <c r="U4" i="2" s="1"/>
  <c r="H20" i="1"/>
  <c r="Y3" i="2"/>
  <c r="H24" i="1"/>
  <c r="H3" i="1"/>
  <c r="D5" i="2"/>
  <c r="D4" i="2" s="1"/>
  <c r="Q4" i="2"/>
  <c r="S4" i="2"/>
  <c r="Y4" i="2"/>
</calcChain>
</file>

<file path=xl/sharedStrings.xml><?xml version="1.0" encoding="utf-8"?>
<sst xmlns="http://schemas.openxmlformats.org/spreadsheetml/2006/main" count="235" uniqueCount="64">
  <si>
    <t>Godzina</t>
  </si>
  <si>
    <t>PV(W)</t>
  </si>
  <si>
    <t>Sieć(W)</t>
  </si>
  <si>
    <t>Odbiorniki energii(W)</t>
  </si>
  <si>
    <t>dane MWE</t>
  </si>
  <si>
    <t>KOD PPE</t>
  </si>
  <si>
    <t>KOD MWE</t>
  </si>
  <si>
    <t>TYP ŹRÓDŁA ENERGII PIERWOTNEJ</t>
  </si>
  <si>
    <t>Fotowoltaika (P)</t>
  </si>
  <si>
    <t>Planowana generacja wyrażona w MW</t>
  </si>
  <si>
    <t>Data</t>
  </si>
  <si>
    <t>Generacja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</si>
  <si>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</si>
  <si>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</si>
  <si>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</si>
  <si>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</si>
  <si>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</si>
  <si>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</si>
  <si>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</si>
  <si>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</si>
  <si>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</si>
  <si>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</si>
  <si>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</si>
  <si>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</si>
  <si>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</si>
  <si>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</si>
  <si>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</si>
  <si>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</si>
  <si>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</si>
  <si>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</si>
  <si>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</si>
  <si>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</si>
  <si>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</si>
  <si>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</si>
  <si>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</si>
  <si>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</si>
  <si>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03.10.2025</t>
  </si>
  <si>
    <t>Netto</t>
  </si>
  <si>
    <t>Do sieci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</si>
  <si>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</si>
  <si>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</si>
  <si>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</si>
  <si>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</si>
  <si>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</si>
  <si>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</si>
  <si>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</si>
  <si>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</si>
  <si>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</si>
  <si>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</si>
  <si>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STAŁE</t>
  </si>
  <si>
    <t>potrzeby_wlasne_roboczy</t>
  </si>
  <si>
    <t>MW</t>
  </si>
  <si>
    <t>potrzeby_wlasne_sobota</t>
  </si>
  <si>
    <t>potrzeby_wlasne_niedziela</t>
  </si>
  <si>
    <t>moc potrzeb wlasnych przedseiebiorstwa MW</t>
  </si>
  <si>
    <t>Irradiacja 100%</t>
  </si>
  <si>
    <t>W/m2</t>
  </si>
  <si>
    <t>irradiacja na idealny dzień</t>
  </si>
  <si>
    <t>netto 100%</t>
  </si>
  <si>
    <t>produkcja PV w 100% max MW</t>
  </si>
  <si>
    <t>POBIERANA IRRADIANCJA</t>
  </si>
  <si>
    <t>Obliczenia</t>
  </si>
  <si>
    <t>5902xxxxxxxxxxxxx</t>
  </si>
  <si>
    <t>MWE_xxxxxxxxxx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</si>
</sst>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0.000"/>
    <numFmt numFmtId="165" formatCode="##0"/>
  </numFmts>
  <fonts count="19" x14ac:knownFonts="1">
    <font>
      <sz val="11"/>
      <color rgb="FF000000"/>
      <name val="Arial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1"/>
      <color theme="0"/>
      <name val="Arial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20"/>
      <color theme="0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6"/>
      <color rgb="FF000000"/>
      <name val="Arial"/>
      <family val="2"/>
      <scheme val="minor"/>
    </font>
    <font>
      <sz val="10"/>
      <color theme="1"/>
      <name val="Calibri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4"/>
      <color theme="0"/>
      <name val="Arial"/>
      <family val="2"/>
    </font>
    <font>
      <sz val="11"/>
      <color rgb="FF000000"/>
      <name val="Arial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669900"/>
        <bgColor rgb="FF669900"/>
      </patternFill>
    </fill>
    <fill>
      <patternFill patternType="solid">
        <fgColor rgb="FF99CC00"/>
        <bgColor rgb="FF99CC00"/>
      </patternFill>
    </fill>
    <fill>
      <patternFill patternType="solid">
        <fgColor rgb="FFC00000"/>
        <bgColor rgb="FFC00000"/>
      </patternFill>
    </fill>
    <fill>
      <patternFill patternType="solid">
        <fgColor rgb="FFFF6600"/>
        <bgColor rgb="FFFF66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/>
  </cellStyleXfs>
  <cellXfs count="9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3" fillId="0" borderId="0" xfId="0" applyFont="1"/>
    <xf numFmtId="0" fontId="6" fillId="3" borderId="9" xfId="0" applyFont="1" applyFill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0" fontId="6" fillId="3" borderId="11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49" fontId="5" fillId="5" borderId="14" xfId="0" applyNumberFormat="1" applyFont="1" applyFill="1" applyBorder="1" applyAlignment="1">
      <alignment horizontal="center" vertical="center"/>
    </xf>
    <xf numFmtId="49" fontId="5" fillId="5" borderId="15" xfId="0" applyNumberFormat="1" applyFont="1" applyFill="1" applyBorder="1" applyAlignment="1">
      <alignment horizontal="center" vertical="center"/>
    </xf>
    <xf numFmtId="49" fontId="5" fillId="5" borderId="16" xfId="0" applyNumberFormat="1" applyFont="1" applyFill="1" applyBorder="1" applyAlignment="1">
      <alignment horizontal="center" vertical="center"/>
    </xf>
    <xf numFmtId="49" fontId="5" fillId="5" borderId="17" xfId="0" applyNumberFormat="1" applyFont="1" applyFill="1" applyBorder="1" applyAlignment="1">
      <alignment horizontal="center" vertical="center"/>
    </xf>
    <xf numFmtId="49" fontId="5" fillId="5" borderId="18" xfId="0" applyNumberFormat="1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164" fontId="10" fillId="0" borderId="19" xfId="0" applyNumberFormat="1" applyFont="1" applyBorder="1" applyAlignment="1">
      <alignment horizontal="center" vertical="center"/>
    </xf>
    <xf numFmtId="165" fontId="10" fillId="7" borderId="20" xfId="0" applyNumberFormat="1" applyFont="1" applyFill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center" vertical="center"/>
    </xf>
    <xf numFmtId="165" fontId="10" fillId="7" borderId="21" xfId="0" applyNumberFormat="1" applyFont="1" applyFill="1" applyBorder="1" applyAlignment="1">
      <alignment horizontal="center" vertical="center"/>
    </xf>
    <xf numFmtId="164" fontId="10" fillId="7" borderId="20" xfId="0" applyNumberFormat="1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49" fontId="5" fillId="5" borderId="25" xfId="0" applyNumberFormat="1" applyFont="1" applyFill="1" applyBorder="1" applyAlignment="1">
      <alignment horizontal="center" vertical="center"/>
    </xf>
    <xf numFmtId="49" fontId="5" fillId="5" borderId="21" xfId="0" applyNumberFormat="1" applyFont="1" applyFill="1" applyBorder="1" applyAlignment="1">
      <alignment horizontal="center" vertical="center"/>
    </xf>
    <xf numFmtId="164" fontId="10" fillId="7" borderId="26" xfId="0" applyNumberFormat="1" applyFont="1" applyFill="1" applyBorder="1" applyAlignment="1">
      <alignment horizontal="center" vertical="center"/>
    </xf>
    <xf numFmtId="164" fontId="10" fillId="7" borderId="27" xfId="0" applyNumberFormat="1" applyFont="1" applyFill="1" applyBorder="1" applyAlignment="1">
      <alignment horizontal="center" vertical="center"/>
    </xf>
    <xf numFmtId="164" fontId="10" fillId="7" borderId="28" xfId="0" applyNumberFormat="1" applyFont="1" applyFill="1" applyBorder="1" applyAlignment="1">
      <alignment horizontal="center" vertical="center"/>
    </xf>
    <xf numFmtId="164" fontId="10" fillId="7" borderId="29" xfId="0" applyNumberFormat="1" applyFont="1" applyFill="1" applyBorder="1" applyAlignment="1">
      <alignment horizontal="center" vertical="center"/>
    </xf>
    <xf numFmtId="165" fontId="10" fillId="7" borderId="29" xfId="0" applyNumberFormat="1" applyFont="1" applyFill="1" applyBorder="1" applyAlignment="1">
      <alignment horizontal="center" vertical="center"/>
    </xf>
    <xf numFmtId="164" fontId="10" fillId="7" borderId="30" xfId="0" applyNumberFormat="1" applyFont="1" applyFill="1" applyBorder="1" applyAlignment="1">
      <alignment horizontal="center" vertical="center"/>
    </xf>
    <xf numFmtId="164" fontId="10" fillId="7" borderId="31" xfId="0" applyNumberFormat="1" applyFont="1" applyFill="1" applyBorder="1" applyAlignment="1">
      <alignment horizontal="center" vertical="center"/>
    </xf>
    <xf numFmtId="164" fontId="10" fillId="7" borderId="32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 wrapText="1"/>
    </xf>
    <xf numFmtId="49" fontId="5" fillId="5" borderId="33" xfId="0" applyNumberFormat="1" applyFont="1" applyFill="1" applyBorder="1" applyAlignment="1">
      <alignment horizontal="center" vertical="center"/>
    </xf>
    <xf numFmtId="49" fontId="9" fillId="3" borderId="34" xfId="0" applyNumberFormat="1" applyFont="1" applyFill="1" applyBorder="1" applyAlignment="1">
      <alignment horizontal="center" vertical="center"/>
    </xf>
    <xf numFmtId="49" fontId="9" fillId="3" borderId="35" xfId="0" applyNumberFormat="1" applyFont="1" applyFill="1" applyBorder="1" applyAlignment="1">
      <alignment horizontal="center" vertical="center"/>
    </xf>
    <xf numFmtId="164" fontId="16" fillId="8" borderId="22" xfId="1" applyNumberFormat="1" applyFont="1" applyFill="1" applyBorder="1" applyAlignment="1">
      <alignment horizontal="center" vertical="center"/>
    </xf>
    <xf numFmtId="49" fontId="14" fillId="5" borderId="39" xfId="0" applyNumberFormat="1" applyFont="1" applyFill="1" applyBorder="1" applyAlignment="1">
      <alignment horizontal="center" vertical="center"/>
    </xf>
    <xf numFmtId="49" fontId="14" fillId="5" borderId="40" xfId="0" applyNumberFormat="1" applyFont="1" applyFill="1" applyBorder="1" applyAlignment="1">
      <alignment horizontal="center" vertical="center"/>
    </xf>
    <xf numFmtId="49" fontId="14" fillId="5" borderId="41" xfId="0" applyNumberFormat="1" applyFont="1" applyFill="1" applyBorder="1" applyAlignment="1">
      <alignment horizontal="center" vertical="center"/>
    </xf>
    <xf numFmtId="14" fontId="14" fillId="6" borderId="42" xfId="0" applyNumberFormat="1" applyFont="1" applyFill="1" applyBorder="1" applyAlignment="1">
      <alignment horizontal="center" vertical="center"/>
    </xf>
    <xf numFmtId="164" fontId="10" fillId="0" borderId="22" xfId="0" applyNumberFormat="1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/>
    </xf>
    <xf numFmtId="14" fontId="14" fillId="6" borderId="44" xfId="0" applyNumberFormat="1" applyFont="1" applyFill="1" applyBorder="1" applyAlignment="1">
      <alignment horizontal="center" vertical="center"/>
    </xf>
    <xf numFmtId="164" fontId="10" fillId="0" borderId="45" xfId="0" applyNumberFormat="1" applyFont="1" applyBorder="1" applyAlignment="1">
      <alignment horizontal="center" vertical="center"/>
    </xf>
    <xf numFmtId="164" fontId="10" fillId="0" borderId="46" xfId="0" applyNumberFormat="1" applyFont="1" applyBorder="1" applyAlignment="1">
      <alignment horizontal="center" vertical="center"/>
    </xf>
    <xf numFmtId="49" fontId="9" fillId="3" borderId="26" xfId="0" applyNumberFormat="1" applyFont="1" applyFill="1" applyBorder="1" applyAlignment="1">
      <alignment horizontal="center" vertical="center" wrapText="1"/>
    </xf>
    <xf numFmtId="49" fontId="9" fillId="3" borderId="47" xfId="0" applyNumberFormat="1" applyFont="1" applyFill="1" applyBorder="1" applyAlignment="1">
      <alignment horizontal="center" vertical="center" wrapText="1"/>
    </xf>
    <xf numFmtId="49" fontId="9" fillId="3" borderId="47" xfId="0" applyNumberFormat="1" applyFont="1" applyFill="1" applyBorder="1" applyAlignment="1">
      <alignment horizontal="center" vertical="center"/>
    </xf>
    <xf numFmtId="49" fontId="9" fillId="3" borderId="48" xfId="0" applyNumberFormat="1" applyFont="1" applyFill="1" applyBorder="1" applyAlignment="1">
      <alignment horizontal="center" vertical="center"/>
    </xf>
    <xf numFmtId="49" fontId="14" fillId="5" borderId="50" xfId="0" applyNumberFormat="1" applyFont="1" applyFill="1" applyBorder="1" applyAlignment="1">
      <alignment horizontal="center" vertical="center"/>
    </xf>
    <xf numFmtId="49" fontId="14" fillId="5" borderId="51" xfId="0" applyNumberFormat="1" applyFont="1" applyFill="1" applyBorder="1" applyAlignment="1">
      <alignment horizontal="center" vertical="center"/>
    </xf>
    <xf numFmtId="49" fontId="14" fillId="5" borderId="52" xfId="0" applyNumberFormat="1" applyFont="1" applyFill="1" applyBorder="1" applyAlignment="1">
      <alignment horizontal="center" vertical="center"/>
    </xf>
    <xf numFmtId="164" fontId="16" fillId="8" borderId="43" xfId="1" applyNumberFormat="1" applyFont="1" applyFill="1" applyBorder="1" applyAlignment="1">
      <alignment horizontal="center" vertical="center"/>
    </xf>
    <xf numFmtId="49" fontId="5" fillId="5" borderId="5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14" fontId="14" fillId="6" borderId="57" xfId="0" applyNumberFormat="1" applyFont="1" applyFill="1" applyBorder="1" applyAlignment="1">
      <alignment horizontal="center" vertical="center"/>
    </xf>
    <xf numFmtId="14" fontId="14" fillId="6" borderId="5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wrapText="1"/>
    </xf>
    <xf numFmtId="0" fontId="1" fillId="0" borderId="0" xfId="0" applyFont="1" applyAlignment="1">
      <alignment wrapText="1"/>
    </xf>
    <xf numFmtId="49" fontId="7" fillId="4" borderId="60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5" fillId="3" borderId="59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7" fillId="4" borderId="61" xfId="0" quotePrefix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7" fillId="4" borderId="61" xfId="0" applyFont="1" applyFill="1" applyBorder="1" applyAlignment="1">
      <alignment horizontal="center" vertical="center"/>
    </xf>
    <xf numFmtId="0" fontId="8" fillId="3" borderId="59" xfId="0" applyFont="1" applyFill="1" applyBorder="1" applyAlignment="1">
      <alignment horizontal="center" vertical="center"/>
    </xf>
    <xf numFmtId="49" fontId="13" fillId="5" borderId="33" xfId="0" applyNumberFormat="1" applyFont="1" applyFill="1" applyBorder="1" applyAlignment="1">
      <alignment horizontal="center" vertical="center"/>
    </xf>
    <xf numFmtId="0" fontId="0" fillId="0" borderId="37" xfId="0" applyBorder="1"/>
    <xf numFmtId="0" fontId="0" fillId="0" borderId="49" xfId="0" applyBorder="1"/>
    <xf numFmtId="0" fontId="13" fillId="3" borderId="62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49" fontId="13" fillId="5" borderId="62" xfId="0" applyNumberFormat="1" applyFont="1" applyFill="1" applyBorder="1" applyAlignment="1">
      <alignment horizontal="center" vertical="center"/>
    </xf>
    <xf numFmtId="49" fontId="17" fillId="5" borderId="23" xfId="0" applyNumberFormat="1" applyFont="1" applyFill="1" applyBorder="1" applyAlignment="1">
      <alignment horizontal="center" vertical="center"/>
    </xf>
    <xf numFmtId="0" fontId="0" fillId="0" borderId="38" xfId="0" applyBorder="1"/>
    <xf numFmtId="49" fontId="17" fillId="5" borderId="36" xfId="0" applyNumberFormat="1" applyFont="1" applyFill="1" applyBorder="1" applyAlignment="1">
      <alignment horizontal="center" vertical="center"/>
    </xf>
    <xf numFmtId="0" fontId="0" fillId="0" borderId="56" xfId="0" applyBorder="1"/>
    <xf numFmtId="0" fontId="11" fillId="0" borderId="62" xfId="0" applyFont="1" applyBorder="1" applyAlignment="1">
      <alignment horizontal="center" vertical="center" wrapText="1"/>
    </xf>
    <xf numFmtId="0" fontId="0" fillId="0" borderId="54" xfId="0" applyBorder="1"/>
    <xf numFmtId="0" fontId="0" fillId="0" borderId="55" xfId="0" applyBorder="1"/>
    <xf numFmtId="0" fontId="11" fillId="0" borderId="62" xfId="0" applyFont="1" applyBorder="1" applyAlignment="1">
      <alignment horizontal="center" vertical="center"/>
    </xf>
  </cellXfs>
  <cellStyles count="2">
    <cellStyle name="Normal" xfId="1" xr:uid="{00000000-0005-0000-0000-000001000000}"/>
    <cellStyle name="Normalny" xfId="0" builtinId="0"/>
  </cellStyles>
  <dxfs count="31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9" defaultPivotStyle="PivotStyleLight16">
    <tableStyle name="Grafiki generacji-style" pivot="0" count="3" xr9:uid="{00000000-0011-0000-FFFF-FFFF00000000}"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Z30">
  <tableColumns count="26">
    <tableColumn id="1" xr3:uid="{00000000-0010-0000-0000-000001000000}" name="Data">
      <calculatedColumnFormula>Dane!A23</calculatedColumnFormula>
    </tableColumn>
    <tableColumn id="2" xr3:uid="{00000000-0010-0000-0000-000002000000}" name="Generacja"/>
    <tableColumn id="3" xr3:uid="{00000000-0010-0000-0000-000003000000}" name="1">
      <calculatedColumnFormula>Dane!C23</calculatedColumnFormula>
    </tableColumn>
    <tableColumn id="4" xr3:uid="{00000000-0010-0000-0000-000004000000}" name="2"/>
    <tableColumn id="5" xr3:uid="{00000000-0010-0000-0000-000005000000}" name="3"/>
    <tableColumn id="6" xr3:uid="{00000000-0010-0000-0000-000006000000}" name="4"/>
    <tableColumn id="7" xr3:uid="{00000000-0010-0000-0000-000007000000}" name="5"/>
    <tableColumn id="8" xr3:uid="{00000000-0010-0000-0000-000008000000}" name="6"/>
    <tableColumn id="9" xr3:uid="{00000000-0010-0000-0000-000009000000}" name="7"/>
    <tableColumn id="10" xr3:uid="{00000000-0010-0000-0000-00000A000000}" name="8"/>
    <tableColumn id="11" xr3:uid="{00000000-0010-0000-0000-00000B000000}" name="9"/>
    <tableColumn id="12" xr3:uid="{00000000-0010-0000-0000-00000C000000}" name="10"/>
    <tableColumn id="13" xr3:uid="{00000000-0010-0000-0000-00000D000000}" name="11"/>
    <tableColumn id="14" xr3:uid="{00000000-0010-0000-0000-00000E000000}" name="12"/>
    <tableColumn id="15" xr3:uid="{00000000-0010-0000-0000-00000F000000}" name="13"/>
    <tableColumn id="16" xr3:uid="{00000000-0010-0000-0000-000010000000}" name="14"/>
    <tableColumn id="17" xr3:uid="{00000000-0010-0000-0000-000011000000}" name="15"/>
    <tableColumn id="18" xr3:uid="{00000000-0010-0000-0000-000012000000}" name="16"/>
    <tableColumn id="19" xr3:uid="{00000000-0010-0000-0000-000013000000}" name="17"/>
    <tableColumn id="20" xr3:uid="{00000000-0010-0000-0000-000014000000}" name="18"/>
    <tableColumn id="21" xr3:uid="{00000000-0010-0000-0000-000015000000}" name="19"/>
    <tableColumn id="22" xr3:uid="{00000000-0010-0000-0000-000016000000}" name="20"/>
    <tableColumn id="23" xr3:uid="{00000000-0010-0000-0000-000017000000}" name="21"/>
    <tableColumn id="24" xr3:uid="{00000000-0010-0000-0000-000018000000}" name="22"/>
    <tableColumn id="25" xr3:uid="{00000000-0010-0000-0000-000019000000}" name="23"/>
    <tableColumn id="26" xr3:uid="{00000000-0010-0000-0000-00001A000000}" name="24"/>
  </tableColumns>
  <tableStyleInfo name="Grafiki generacj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/>
  </sheetViews>
  <sheetFormatPr defaultColWidth="12.59765625" defaultRowHeight="15" customHeight="1" x14ac:dyDescent="0.25"/>
  <cols>
    <col min="1" max="1" width="8.59765625" customWidth="1"/>
    <col min="2" max="3" width="10.59765625" customWidth="1"/>
    <col min="4" max="4" width="10.8984375" customWidth="1"/>
    <col min="5" max="5" width="10.59765625" customWidth="1"/>
    <col min="6" max="26" width="8.59765625" customWidth="1"/>
  </cols>
  <sheetData>
    <row r="1" spans="1:9" ht="27.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F1" s="3" t="s">
        <v>0</v>
      </c>
      <c r="G1" s="3" t="s">
        <v>1</v>
      </c>
      <c r="H1" s="3" t="s">
        <v>2</v>
      </c>
      <c r="I1" s="3" t="s">
        <v>3</v>
      </c>
    </row>
    <row r="2" spans="1:9" ht="14.4" customHeight="1" x14ac:dyDescent="0.3">
      <c r="A2" s="4">
        <v>0</v>
      </c>
      <c r="B2" s="5" t="e">
        <f>#REF!</f>
        <v>#REF!</v>
      </c>
      <c r="C2" s="5" t="e">
        <f>#REF!</f>
        <v>#REF!</v>
      </c>
      <c r="D2" s="5" t="e">
        <f>#REF!</f>
        <v>#REF!</v>
      </c>
      <c r="F2" s="4">
        <v>0</v>
      </c>
      <c r="G2" s="6" t="e">
        <f t="shared" ref="G2:G25" si="0">B2/12</f>
        <v>#REF!</v>
      </c>
      <c r="H2" s="6" t="e">
        <f t="shared" ref="H2:H25" si="1">I2-G2</f>
        <v>#REF!</v>
      </c>
      <c r="I2" s="6" t="e">
        <f t="shared" ref="I2:I25" si="2">D2/12</f>
        <v>#REF!</v>
      </c>
    </row>
    <row r="3" spans="1:9" ht="14.4" customHeight="1" x14ac:dyDescent="0.3">
      <c r="A3" s="4">
        <v>1</v>
      </c>
      <c r="B3" s="5" t="e">
        <f>#REF!</f>
        <v>#REF!</v>
      </c>
      <c r="C3" s="5" t="e">
        <f>#REF!</f>
        <v>#REF!</v>
      </c>
      <c r="D3" s="5" t="e">
        <f>#REF!</f>
        <v>#REF!</v>
      </c>
      <c r="F3" s="4">
        <v>1</v>
      </c>
      <c r="G3" s="6" t="e">
        <f t="shared" si="0"/>
        <v>#REF!</v>
      </c>
      <c r="H3" s="6" t="e">
        <f t="shared" si="1"/>
        <v>#REF!</v>
      </c>
      <c r="I3" s="6" t="e">
        <f t="shared" si="2"/>
        <v>#REF!</v>
      </c>
    </row>
    <row r="4" spans="1:9" ht="14.4" customHeight="1" x14ac:dyDescent="0.3">
      <c r="A4" s="4">
        <v>2</v>
      </c>
      <c r="B4" s="5" t="e">
        <f>#REF!</f>
        <v>#REF!</v>
      </c>
      <c r="C4" s="5" t="e">
        <f>#REF!</f>
        <v>#REF!</v>
      </c>
      <c r="D4" s="5" t="e">
        <f>#REF!</f>
        <v>#REF!</v>
      </c>
      <c r="F4" s="4">
        <v>2</v>
      </c>
      <c r="G4" s="6" t="e">
        <f t="shared" si="0"/>
        <v>#REF!</v>
      </c>
      <c r="H4" s="6" t="e">
        <f t="shared" si="1"/>
        <v>#REF!</v>
      </c>
      <c r="I4" s="6" t="e">
        <f t="shared" si="2"/>
        <v>#REF!</v>
      </c>
    </row>
    <row r="5" spans="1:9" ht="14.4" customHeight="1" x14ac:dyDescent="0.3">
      <c r="A5" s="4">
        <v>3</v>
      </c>
      <c r="B5" s="5" t="e">
        <f>#REF!</f>
        <v>#REF!</v>
      </c>
      <c r="C5" s="5" t="e">
        <f>#REF!</f>
        <v>#REF!</v>
      </c>
      <c r="D5" s="5" t="e">
        <f>#REF!</f>
        <v>#REF!</v>
      </c>
      <c r="F5" s="4">
        <v>3</v>
      </c>
      <c r="G5" s="6" t="e">
        <f t="shared" si="0"/>
        <v>#REF!</v>
      </c>
      <c r="H5" s="6" t="e">
        <f t="shared" si="1"/>
        <v>#REF!</v>
      </c>
      <c r="I5" s="6" t="e">
        <f t="shared" si="2"/>
        <v>#REF!</v>
      </c>
    </row>
    <row r="6" spans="1:9" ht="14.4" customHeight="1" x14ac:dyDescent="0.3">
      <c r="A6" s="4">
        <v>4</v>
      </c>
      <c r="B6" s="5" t="e">
        <f>#REF!</f>
        <v>#REF!</v>
      </c>
      <c r="C6" s="5" t="e">
        <f>#REF!</f>
        <v>#REF!</v>
      </c>
      <c r="D6" s="5" t="e">
        <f>#REF!</f>
        <v>#REF!</v>
      </c>
      <c r="F6" s="4">
        <v>4</v>
      </c>
      <c r="G6" s="6" t="e">
        <f t="shared" si="0"/>
        <v>#REF!</v>
      </c>
      <c r="H6" s="6" t="e">
        <f t="shared" si="1"/>
        <v>#REF!</v>
      </c>
      <c r="I6" s="6" t="e">
        <f t="shared" si="2"/>
        <v>#REF!</v>
      </c>
    </row>
    <row r="7" spans="1:9" ht="14.4" customHeight="1" x14ac:dyDescent="0.3">
      <c r="A7" s="4">
        <v>5</v>
      </c>
      <c r="B7" s="5" t="e">
        <f>#REF!</f>
        <v>#REF!</v>
      </c>
      <c r="C7" s="5" t="e">
        <f>#REF!</f>
        <v>#REF!</v>
      </c>
      <c r="D7" s="5" t="e">
        <f>#REF!</f>
        <v>#REF!</v>
      </c>
      <c r="F7" s="4">
        <v>5</v>
      </c>
      <c r="G7" s="6" t="e">
        <f t="shared" si="0"/>
        <v>#REF!</v>
      </c>
      <c r="H7" s="6" t="e">
        <f t="shared" si="1"/>
        <v>#REF!</v>
      </c>
      <c r="I7" s="6" t="e">
        <f t="shared" si="2"/>
        <v>#REF!</v>
      </c>
    </row>
    <row r="8" spans="1:9" ht="14.4" customHeight="1" x14ac:dyDescent="0.3">
      <c r="A8" s="4">
        <v>6</v>
      </c>
      <c r="B8" s="5" t="e">
        <f>#REF!</f>
        <v>#REF!</v>
      </c>
      <c r="C8" s="5" t="e">
        <f>#REF!</f>
        <v>#REF!</v>
      </c>
      <c r="D8" s="5" t="e">
        <f>#REF!</f>
        <v>#REF!</v>
      </c>
      <c r="F8" s="4">
        <v>6</v>
      </c>
      <c r="G8" s="6" t="e">
        <f t="shared" si="0"/>
        <v>#REF!</v>
      </c>
      <c r="H8" s="6" t="e">
        <f t="shared" si="1"/>
        <v>#REF!</v>
      </c>
      <c r="I8" s="6" t="e">
        <f t="shared" si="2"/>
        <v>#REF!</v>
      </c>
    </row>
    <row r="9" spans="1:9" ht="14.4" customHeight="1" x14ac:dyDescent="0.3">
      <c r="A9" s="4">
        <v>7</v>
      </c>
      <c r="B9" s="5" t="e">
        <f>#REF!</f>
        <v>#REF!</v>
      </c>
      <c r="C9" s="5" t="e">
        <f>#REF!</f>
        <v>#REF!</v>
      </c>
      <c r="D9" s="5" t="e">
        <f>#REF!</f>
        <v>#REF!</v>
      </c>
      <c r="F9" s="4">
        <v>7</v>
      </c>
      <c r="G9" s="6" t="e">
        <f t="shared" si="0"/>
        <v>#REF!</v>
      </c>
      <c r="H9" s="6" t="e">
        <f t="shared" si="1"/>
        <v>#REF!</v>
      </c>
      <c r="I9" s="6" t="e">
        <f t="shared" si="2"/>
        <v>#REF!</v>
      </c>
    </row>
    <row r="10" spans="1:9" ht="14.4" customHeight="1" x14ac:dyDescent="0.3">
      <c r="A10" s="4">
        <v>8</v>
      </c>
      <c r="B10" s="5" t="e">
        <f>#REF!</f>
        <v>#REF!</v>
      </c>
      <c r="C10" s="5" t="e">
        <f>#REF!</f>
        <v>#REF!</v>
      </c>
      <c r="D10" s="5" t="e">
        <f>#REF!</f>
        <v>#REF!</v>
      </c>
      <c r="F10" s="4">
        <v>8</v>
      </c>
      <c r="G10" s="6" t="e">
        <f t="shared" si="0"/>
        <v>#REF!</v>
      </c>
      <c r="H10" s="6" t="e">
        <f t="shared" si="1"/>
        <v>#REF!</v>
      </c>
      <c r="I10" s="6" t="e">
        <f t="shared" si="2"/>
        <v>#REF!</v>
      </c>
    </row>
    <row r="11" spans="1:9" ht="14.4" customHeight="1" x14ac:dyDescent="0.3">
      <c r="A11" s="4">
        <v>9</v>
      </c>
      <c r="B11" s="5" t="e">
        <f>#REF!</f>
        <v>#REF!</v>
      </c>
      <c r="C11" s="5" t="e">
        <f>#REF!</f>
        <v>#REF!</v>
      </c>
      <c r="D11" s="5" t="e">
        <f>#REF!</f>
        <v>#REF!</v>
      </c>
      <c r="F11" s="4">
        <v>9</v>
      </c>
      <c r="G11" s="6" t="e">
        <f t="shared" si="0"/>
        <v>#REF!</v>
      </c>
      <c r="H11" s="6" t="e">
        <f t="shared" si="1"/>
        <v>#REF!</v>
      </c>
      <c r="I11" s="6" t="e">
        <f t="shared" si="2"/>
        <v>#REF!</v>
      </c>
    </row>
    <row r="12" spans="1:9" ht="14.4" customHeight="1" x14ac:dyDescent="0.3">
      <c r="A12" s="4">
        <v>10</v>
      </c>
      <c r="B12" s="5" t="e">
        <f>#REF!</f>
        <v>#REF!</v>
      </c>
      <c r="C12" s="5" t="e">
        <f>#REF!</f>
        <v>#REF!</v>
      </c>
      <c r="D12" s="5" t="e">
        <f>#REF!</f>
        <v>#REF!</v>
      </c>
      <c r="F12" s="4">
        <v>10</v>
      </c>
      <c r="G12" s="6" t="e">
        <f t="shared" si="0"/>
        <v>#REF!</v>
      </c>
      <c r="H12" s="6" t="e">
        <f t="shared" si="1"/>
        <v>#REF!</v>
      </c>
      <c r="I12" s="6" t="e">
        <f t="shared" si="2"/>
        <v>#REF!</v>
      </c>
    </row>
    <row r="13" spans="1:9" ht="14.4" customHeight="1" x14ac:dyDescent="0.3">
      <c r="A13" s="4">
        <v>11</v>
      </c>
      <c r="B13" s="5" t="e">
        <f>#REF!</f>
        <v>#REF!</v>
      </c>
      <c r="C13" s="5" t="e">
        <f>#REF!</f>
        <v>#REF!</v>
      </c>
      <c r="D13" s="5" t="e">
        <f>#REF!</f>
        <v>#REF!</v>
      </c>
      <c r="F13" s="4">
        <v>11</v>
      </c>
      <c r="G13" s="6" t="e">
        <f t="shared" si="0"/>
        <v>#REF!</v>
      </c>
      <c r="H13" s="6" t="e">
        <f t="shared" si="1"/>
        <v>#REF!</v>
      </c>
      <c r="I13" s="6" t="e">
        <f t="shared" si="2"/>
        <v>#REF!</v>
      </c>
    </row>
    <row r="14" spans="1:9" ht="14.4" customHeight="1" x14ac:dyDescent="0.3">
      <c r="A14" s="4">
        <v>12</v>
      </c>
      <c r="B14" s="5" t="e">
        <f>#REF!</f>
        <v>#REF!</v>
      </c>
      <c r="C14" s="5" t="e">
        <f>#REF!</f>
        <v>#REF!</v>
      </c>
      <c r="D14" s="5" t="e">
        <f>#REF!</f>
        <v>#REF!</v>
      </c>
      <c r="F14" s="4">
        <v>12</v>
      </c>
      <c r="G14" s="6" t="e">
        <f t="shared" si="0"/>
        <v>#REF!</v>
      </c>
      <c r="H14" s="6" t="e">
        <f t="shared" si="1"/>
        <v>#REF!</v>
      </c>
      <c r="I14" s="6" t="e">
        <f t="shared" si="2"/>
        <v>#REF!</v>
      </c>
    </row>
    <row r="15" spans="1:9" ht="14.4" customHeight="1" x14ac:dyDescent="0.3">
      <c r="A15" s="4">
        <v>13</v>
      </c>
      <c r="B15" s="5" t="e">
        <f>#REF!</f>
        <v>#REF!</v>
      </c>
      <c r="C15" s="5" t="e">
        <f>#REF!</f>
        <v>#REF!</v>
      </c>
      <c r="D15" s="5" t="e">
        <f>#REF!</f>
        <v>#REF!</v>
      </c>
      <c r="F15" s="4">
        <v>13</v>
      </c>
      <c r="G15" s="6" t="e">
        <f t="shared" si="0"/>
        <v>#REF!</v>
      </c>
      <c r="H15" s="6" t="e">
        <f t="shared" si="1"/>
        <v>#REF!</v>
      </c>
      <c r="I15" s="6" t="e">
        <f t="shared" si="2"/>
        <v>#REF!</v>
      </c>
    </row>
    <row r="16" spans="1:9" ht="14.4" customHeight="1" x14ac:dyDescent="0.3">
      <c r="A16" s="4">
        <v>14</v>
      </c>
      <c r="B16" s="5" t="e">
        <f>#REF!</f>
        <v>#REF!</v>
      </c>
      <c r="C16" s="5" t="e">
        <f>#REF!</f>
        <v>#REF!</v>
      </c>
      <c r="D16" s="5" t="e">
        <f>#REF!</f>
        <v>#REF!</v>
      </c>
      <c r="F16" s="4">
        <v>14</v>
      </c>
      <c r="G16" s="6" t="e">
        <f t="shared" si="0"/>
        <v>#REF!</v>
      </c>
      <c r="H16" s="6" t="e">
        <f t="shared" si="1"/>
        <v>#REF!</v>
      </c>
      <c r="I16" s="6" t="e">
        <f t="shared" si="2"/>
        <v>#REF!</v>
      </c>
    </row>
    <row r="17" spans="1:9" ht="14.4" customHeight="1" x14ac:dyDescent="0.3">
      <c r="A17" s="4">
        <v>15</v>
      </c>
      <c r="B17" s="5" t="e">
        <f>#REF!</f>
        <v>#REF!</v>
      </c>
      <c r="C17" s="5" t="e">
        <f>#REF!</f>
        <v>#REF!</v>
      </c>
      <c r="D17" s="5" t="e">
        <f>#REF!</f>
        <v>#REF!</v>
      </c>
      <c r="F17" s="4">
        <v>15</v>
      </c>
      <c r="G17" s="6" t="e">
        <f t="shared" si="0"/>
        <v>#REF!</v>
      </c>
      <c r="H17" s="6" t="e">
        <f t="shared" si="1"/>
        <v>#REF!</v>
      </c>
      <c r="I17" s="6" t="e">
        <f t="shared" si="2"/>
        <v>#REF!</v>
      </c>
    </row>
    <row r="18" spans="1:9" ht="14.4" customHeight="1" x14ac:dyDescent="0.3">
      <c r="A18" s="4">
        <v>16</v>
      </c>
      <c r="B18" s="5" t="e">
        <f>#REF!</f>
        <v>#REF!</v>
      </c>
      <c r="C18" s="5" t="e">
        <f>#REF!</f>
        <v>#REF!</v>
      </c>
      <c r="D18" s="5" t="e">
        <f>#REF!</f>
        <v>#REF!</v>
      </c>
      <c r="F18" s="4">
        <v>16</v>
      </c>
      <c r="G18" s="6" t="e">
        <f t="shared" si="0"/>
        <v>#REF!</v>
      </c>
      <c r="H18" s="6" t="e">
        <f t="shared" si="1"/>
        <v>#REF!</v>
      </c>
      <c r="I18" s="6" t="e">
        <f t="shared" si="2"/>
        <v>#REF!</v>
      </c>
    </row>
    <row r="19" spans="1:9" ht="14.4" customHeight="1" x14ac:dyDescent="0.3">
      <c r="A19" s="4">
        <v>17</v>
      </c>
      <c r="B19" s="5" t="e">
        <f>#REF!</f>
        <v>#REF!</v>
      </c>
      <c r="C19" s="5" t="e">
        <f>#REF!</f>
        <v>#REF!</v>
      </c>
      <c r="D19" s="5" t="e">
        <f>#REF!</f>
        <v>#REF!</v>
      </c>
      <c r="F19" s="4">
        <v>17</v>
      </c>
      <c r="G19" s="6" t="e">
        <f t="shared" si="0"/>
        <v>#REF!</v>
      </c>
      <c r="H19" s="6" t="e">
        <f t="shared" si="1"/>
        <v>#REF!</v>
      </c>
      <c r="I19" s="6" t="e">
        <f t="shared" si="2"/>
        <v>#REF!</v>
      </c>
    </row>
    <row r="20" spans="1:9" ht="14.4" customHeight="1" x14ac:dyDescent="0.3">
      <c r="A20" s="4">
        <v>18</v>
      </c>
      <c r="B20" s="5" t="e">
        <f>#REF!</f>
        <v>#REF!</v>
      </c>
      <c r="C20" s="5" t="e">
        <f>#REF!</f>
        <v>#REF!</v>
      </c>
      <c r="D20" s="5" t="e">
        <f>#REF!</f>
        <v>#REF!</v>
      </c>
      <c r="F20" s="4">
        <v>18</v>
      </c>
      <c r="G20" s="6" t="e">
        <f t="shared" si="0"/>
        <v>#REF!</v>
      </c>
      <c r="H20" s="6" t="e">
        <f t="shared" si="1"/>
        <v>#REF!</v>
      </c>
      <c r="I20" s="6" t="e">
        <f t="shared" si="2"/>
        <v>#REF!</v>
      </c>
    </row>
    <row r="21" spans="1:9" ht="15.75" customHeight="1" x14ac:dyDescent="0.3">
      <c r="A21" s="4">
        <v>19</v>
      </c>
      <c r="B21" s="5" t="e">
        <f>#REF!</f>
        <v>#REF!</v>
      </c>
      <c r="C21" s="5" t="e">
        <f>#REF!</f>
        <v>#REF!</v>
      </c>
      <c r="D21" s="5" t="e">
        <f>#REF!</f>
        <v>#REF!</v>
      </c>
      <c r="F21" s="4">
        <v>19</v>
      </c>
      <c r="G21" s="6" t="e">
        <f t="shared" si="0"/>
        <v>#REF!</v>
      </c>
      <c r="H21" s="6" t="e">
        <f t="shared" si="1"/>
        <v>#REF!</v>
      </c>
      <c r="I21" s="6" t="e">
        <f t="shared" si="2"/>
        <v>#REF!</v>
      </c>
    </row>
    <row r="22" spans="1:9" ht="15.75" customHeight="1" x14ac:dyDescent="0.3">
      <c r="A22" s="4">
        <v>20</v>
      </c>
      <c r="B22" s="5" t="e">
        <f>#REF!</f>
        <v>#REF!</v>
      </c>
      <c r="C22" s="5" t="e">
        <f>#REF!</f>
        <v>#REF!</v>
      </c>
      <c r="D22" s="5" t="e">
        <f>#REF!</f>
        <v>#REF!</v>
      </c>
      <c r="F22" s="4">
        <v>20</v>
      </c>
      <c r="G22" s="6" t="e">
        <f t="shared" si="0"/>
        <v>#REF!</v>
      </c>
      <c r="H22" s="6" t="e">
        <f t="shared" si="1"/>
        <v>#REF!</v>
      </c>
      <c r="I22" s="6" t="e">
        <f t="shared" si="2"/>
        <v>#REF!</v>
      </c>
    </row>
    <row r="23" spans="1:9" ht="15.75" customHeight="1" x14ac:dyDescent="0.3">
      <c r="A23" s="4">
        <v>21</v>
      </c>
      <c r="B23" s="5" t="e">
        <f>#REF!</f>
        <v>#REF!</v>
      </c>
      <c r="C23" s="5" t="e">
        <f>#REF!</f>
        <v>#REF!</v>
      </c>
      <c r="D23" s="5" t="e">
        <f>#REF!</f>
        <v>#REF!</v>
      </c>
      <c r="F23" s="4">
        <v>21</v>
      </c>
      <c r="G23" s="6" t="e">
        <f t="shared" si="0"/>
        <v>#REF!</v>
      </c>
      <c r="H23" s="6" t="e">
        <f t="shared" si="1"/>
        <v>#REF!</v>
      </c>
      <c r="I23" s="6" t="e">
        <f t="shared" si="2"/>
        <v>#REF!</v>
      </c>
    </row>
    <row r="24" spans="1:9" ht="15.75" customHeight="1" x14ac:dyDescent="0.3">
      <c r="A24" s="4">
        <v>22</v>
      </c>
      <c r="B24" s="5" t="e">
        <f>#REF!</f>
        <v>#REF!</v>
      </c>
      <c r="C24" s="5" t="e">
        <f>#REF!</f>
        <v>#REF!</v>
      </c>
      <c r="D24" s="5" t="e">
        <f>#REF!</f>
        <v>#REF!</v>
      </c>
      <c r="F24" s="4">
        <v>22</v>
      </c>
      <c r="G24" s="6" t="e">
        <f t="shared" si="0"/>
        <v>#REF!</v>
      </c>
      <c r="H24" s="6" t="e">
        <f t="shared" si="1"/>
        <v>#REF!</v>
      </c>
      <c r="I24" s="6" t="e">
        <f t="shared" si="2"/>
        <v>#REF!</v>
      </c>
    </row>
    <row r="25" spans="1:9" ht="15.75" customHeight="1" x14ac:dyDescent="0.3">
      <c r="A25" s="4">
        <v>23</v>
      </c>
      <c r="B25" s="5" t="e">
        <f>#REF!</f>
        <v>#REF!</v>
      </c>
      <c r="C25" s="5" t="e">
        <f>#REF!</f>
        <v>#REF!</v>
      </c>
      <c r="D25" s="5" t="e">
        <f>#REF!</f>
        <v>#REF!</v>
      </c>
      <c r="F25" s="4">
        <v>23</v>
      </c>
      <c r="G25" s="6" t="e">
        <f t="shared" si="0"/>
        <v>#REF!</v>
      </c>
      <c r="H25" s="6" t="e">
        <f t="shared" si="1"/>
        <v>#REF!</v>
      </c>
      <c r="I25" s="6" t="e">
        <f t="shared" si="2"/>
        <v>#REF!</v>
      </c>
    </row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Header>&amp;L&amp;"Arial"&amp;8&amp;K000000 INTERNAL&amp;1#_x000D_&amp;"Arial"&amp;11&amp;K000000&amp;"Arial"&amp;1 &amp;K000000 INTERNAL#_x000D_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1000"/>
  <sheetViews>
    <sheetView workbookViewId="0"/>
  </sheetViews>
  <sheetFormatPr defaultColWidth="12.59765625" defaultRowHeight="15" customHeight="1" x14ac:dyDescent="0.25"/>
  <cols>
    <col min="1" max="26" width="8.59765625" customWidth="1"/>
  </cols>
  <sheetData>
    <row r="2" spans="2:26" ht="14.4" customHeight="1" x14ac:dyDescent="0.25">
      <c r="B2" s="3" t="s">
        <v>0</v>
      </c>
      <c r="C2" s="7">
        <v>0</v>
      </c>
      <c r="D2" s="7">
        <v>1</v>
      </c>
      <c r="E2" s="7">
        <v>2</v>
      </c>
      <c r="F2" s="7">
        <v>3</v>
      </c>
      <c r="G2" s="7">
        <v>4</v>
      </c>
      <c r="H2" s="7">
        <v>5</v>
      </c>
      <c r="I2" s="7">
        <v>6</v>
      </c>
      <c r="J2" s="7">
        <v>7</v>
      </c>
      <c r="K2" s="7">
        <v>8</v>
      </c>
      <c r="L2" s="7">
        <v>9</v>
      </c>
      <c r="M2" s="7">
        <v>10</v>
      </c>
      <c r="N2" s="7">
        <v>11</v>
      </c>
      <c r="O2" s="7">
        <v>12</v>
      </c>
      <c r="P2" s="7">
        <v>13</v>
      </c>
      <c r="Q2" s="7">
        <v>14</v>
      </c>
      <c r="R2" s="7">
        <v>15</v>
      </c>
      <c r="S2" s="7">
        <v>16</v>
      </c>
      <c r="T2" s="7">
        <v>17</v>
      </c>
      <c r="U2" s="7">
        <v>18</v>
      </c>
      <c r="V2" s="7">
        <v>19</v>
      </c>
      <c r="W2" s="7">
        <v>20</v>
      </c>
      <c r="X2" s="7">
        <v>21</v>
      </c>
      <c r="Y2" s="7">
        <v>22</v>
      </c>
      <c r="Z2" s="7">
        <v>23</v>
      </c>
    </row>
    <row r="3" spans="2:26" ht="14.4" customHeight="1" x14ac:dyDescent="0.25">
      <c r="B3" s="3" t="s">
        <v>1</v>
      </c>
      <c r="C3" s="8" t="e">
        <f>Arkusz2!G2</f>
        <v>#REF!</v>
      </c>
      <c r="D3" s="8" t="e">
        <f>Arkusz2!G3</f>
        <v>#REF!</v>
      </c>
      <c r="E3" s="8" t="e">
        <f>Arkusz2!G4</f>
        <v>#REF!</v>
      </c>
      <c r="F3" s="8" t="e">
        <f>Arkusz2!G5</f>
        <v>#REF!</v>
      </c>
      <c r="G3" s="8" t="e">
        <f>Arkusz2!G6</f>
        <v>#REF!</v>
      </c>
      <c r="H3" s="8" t="e">
        <f>Arkusz2!G7</f>
        <v>#REF!</v>
      </c>
      <c r="I3" s="8" t="e">
        <f>Arkusz2!G8</f>
        <v>#REF!</v>
      </c>
      <c r="J3" s="8" t="e">
        <f>Arkusz2!G9</f>
        <v>#REF!</v>
      </c>
      <c r="K3" s="8" t="e">
        <f>Arkusz2!G10</f>
        <v>#REF!</v>
      </c>
      <c r="L3" s="8" t="e">
        <f>Arkusz2!G11</f>
        <v>#REF!</v>
      </c>
      <c r="M3" s="8" t="e">
        <f>Arkusz2!G12</f>
        <v>#REF!</v>
      </c>
      <c r="N3" s="8" t="e">
        <f>Arkusz2!G13</f>
        <v>#REF!</v>
      </c>
      <c r="O3" s="8" t="e">
        <f>Arkusz2!G14</f>
        <v>#REF!</v>
      </c>
      <c r="P3" s="8" t="e">
        <f>Arkusz2!G15</f>
        <v>#REF!</v>
      </c>
      <c r="Q3" s="8" t="e">
        <f>Arkusz2!G16</f>
        <v>#REF!</v>
      </c>
      <c r="R3" s="8" t="e">
        <f>Arkusz2!G17</f>
        <v>#REF!</v>
      </c>
      <c r="S3" s="8" t="e">
        <f>Arkusz2!G18</f>
        <v>#REF!</v>
      </c>
      <c r="T3" s="8" t="e">
        <f>Arkusz2!G19</f>
        <v>#REF!</v>
      </c>
      <c r="U3" s="8" t="e">
        <f>Arkusz2!G20</f>
        <v>#REF!</v>
      </c>
      <c r="V3" s="8" t="e">
        <f>Arkusz2!G21</f>
        <v>#REF!</v>
      </c>
      <c r="W3" s="8" t="e">
        <f>Arkusz2!G22</f>
        <v>#REF!</v>
      </c>
      <c r="X3" s="8" t="e">
        <f>Arkusz2!G23</f>
        <v>#REF!</v>
      </c>
      <c r="Y3" s="8" t="e">
        <f>Arkusz2!G24</f>
        <v>#REF!</v>
      </c>
      <c r="Z3" s="8" t="e">
        <f>Arkusz2!G25</f>
        <v>#REF!</v>
      </c>
    </row>
    <row r="4" spans="2:26" ht="14.4" customHeight="1" x14ac:dyDescent="0.25">
      <c r="B4" s="3" t="s">
        <v>2</v>
      </c>
      <c r="C4" s="8" t="e">
        <f t="shared" ref="C4:Z4" si="0">C5-C3</f>
        <v>#REF!</v>
      </c>
      <c r="D4" s="8" t="e">
        <f t="shared" si="0"/>
        <v>#REF!</v>
      </c>
      <c r="E4" s="8" t="e">
        <f t="shared" si="0"/>
        <v>#REF!</v>
      </c>
      <c r="F4" s="8" t="e">
        <f t="shared" si="0"/>
        <v>#REF!</v>
      </c>
      <c r="G4" s="8" t="e">
        <f t="shared" si="0"/>
        <v>#REF!</v>
      </c>
      <c r="H4" s="8" t="e">
        <f t="shared" si="0"/>
        <v>#REF!</v>
      </c>
      <c r="I4" s="8" t="e">
        <f t="shared" si="0"/>
        <v>#REF!</v>
      </c>
      <c r="J4" s="8" t="e">
        <f t="shared" si="0"/>
        <v>#REF!</v>
      </c>
      <c r="K4" s="8" t="e">
        <f t="shared" si="0"/>
        <v>#REF!</v>
      </c>
      <c r="L4" s="8" t="e">
        <f t="shared" si="0"/>
        <v>#REF!</v>
      </c>
      <c r="M4" s="8" t="e">
        <f t="shared" si="0"/>
        <v>#REF!</v>
      </c>
      <c r="N4" s="8" t="e">
        <f t="shared" si="0"/>
        <v>#REF!</v>
      </c>
      <c r="O4" s="8" t="e">
        <f t="shared" si="0"/>
        <v>#REF!</v>
      </c>
      <c r="P4" s="8" t="e">
        <f t="shared" si="0"/>
        <v>#REF!</v>
      </c>
      <c r="Q4" s="8" t="e">
        <f t="shared" si="0"/>
        <v>#REF!</v>
      </c>
      <c r="R4" s="8" t="e">
        <f t="shared" si="0"/>
        <v>#REF!</v>
      </c>
      <c r="S4" s="8" t="e">
        <f t="shared" si="0"/>
        <v>#REF!</v>
      </c>
      <c r="T4" s="8" t="e">
        <f t="shared" si="0"/>
        <v>#REF!</v>
      </c>
      <c r="U4" s="8" t="e">
        <f t="shared" si="0"/>
        <v>#REF!</v>
      </c>
      <c r="V4" s="8" t="e">
        <f t="shared" si="0"/>
        <v>#REF!</v>
      </c>
      <c r="W4" s="8" t="e">
        <f t="shared" si="0"/>
        <v>#REF!</v>
      </c>
      <c r="X4" s="8" t="e">
        <f t="shared" si="0"/>
        <v>#REF!</v>
      </c>
      <c r="Y4" s="8" t="e">
        <f t="shared" si="0"/>
        <v>#REF!</v>
      </c>
      <c r="Z4" s="8" t="e">
        <f t="shared" si="0"/>
        <v>#REF!</v>
      </c>
    </row>
    <row r="5" spans="2:26" ht="27.6" customHeight="1" x14ac:dyDescent="0.25">
      <c r="B5" s="3" t="s">
        <v>3</v>
      </c>
      <c r="C5" s="8" t="e">
        <f>Arkusz2!I2</f>
        <v>#REF!</v>
      </c>
      <c r="D5" s="8" t="e">
        <f>Arkusz2!I3</f>
        <v>#REF!</v>
      </c>
      <c r="E5" s="8" t="e">
        <f>Arkusz2!I4</f>
        <v>#REF!</v>
      </c>
      <c r="F5" s="8" t="e">
        <f>Arkusz2!I5</f>
        <v>#REF!</v>
      </c>
      <c r="G5" s="8" t="e">
        <f>Arkusz2!I6</f>
        <v>#REF!</v>
      </c>
      <c r="H5" s="8" t="e">
        <f>Arkusz2!I7</f>
        <v>#REF!</v>
      </c>
      <c r="I5" s="8" t="e">
        <f>Arkusz2!I8</f>
        <v>#REF!</v>
      </c>
      <c r="J5" s="8" t="e">
        <f>Arkusz2!I9</f>
        <v>#REF!</v>
      </c>
      <c r="K5" s="8" t="e">
        <f>Arkusz2!I10</f>
        <v>#REF!</v>
      </c>
      <c r="L5" s="8" t="e">
        <f>Arkusz2!I11</f>
        <v>#REF!</v>
      </c>
      <c r="M5" s="8" t="e">
        <f>Arkusz2!I12</f>
        <v>#REF!</v>
      </c>
      <c r="N5" s="8" t="e">
        <f>Arkusz2!I13</f>
        <v>#REF!</v>
      </c>
      <c r="O5" s="8" t="e">
        <f>Arkusz2!I14</f>
        <v>#REF!</v>
      </c>
      <c r="P5" s="8" t="e">
        <f>Arkusz2!I15</f>
        <v>#REF!</v>
      </c>
      <c r="Q5" s="8" t="e">
        <f>Arkusz2!I16</f>
        <v>#REF!</v>
      </c>
      <c r="R5" s="8" t="e">
        <f>Arkusz2!I17</f>
        <v>#REF!</v>
      </c>
      <c r="S5" s="8" t="e">
        <f>Arkusz2!I18</f>
        <v>#REF!</v>
      </c>
      <c r="T5" s="8" t="e">
        <f>Arkusz2!I19</f>
        <v>#REF!</v>
      </c>
      <c r="U5" s="8" t="e">
        <f>Arkusz2!I20</f>
        <v>#REF!</v>
      </c>
      <c r="V5" s="8" t="e">
        <f>Arkusz2!I21</f>
        <v>#REF!</v>
      </c>
      <c r="W5" s="8" t="e">
        <f>Arkusz2!I22</f>
        <v>#REF!</v>
      </c>
      <c r="X5" s="8" t="e">
        <f>Arkusz2!I23</f>
        <v>#REF!</v>
      </c>
      <c r="Y5" s="8" t="e">
        <f>Arkusz2!I24</f>
        <v>#REF!</v>
      </c>
      <c r="Z5" s="8" t="e">
        <f>Arkusz2!I25</f>
        <v>#REF!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Header>&amp;L&amp;"Arial"&amp;8&amp;K000000 INTERNAL&amp;1#_x000D_&amp;"Arial"&amp;11&amp;K000000&amp;"Arial"&amp;1 &amp;K000000 INTERNAL#_x000D_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zoomScale="85" zoomScaleNormal="85" workbookViewId="0">
      <selection activeCell="K3" sqref="K3"/>
    </sheetView>
  </sheetViews>
  <sheetFormatPr defaultColWidth="12.59765625" defaultRowHeight="15" customHeight="1" x14ac:dyDescent="0.25"/>
  <cols>
    <col min="1" max="1" width="15.09765625" customWidth="1"/>
    <col min="2" max="2" width="17.3984375" customWidth="1"/>
    <col min="3" max="14" width="8.59765625" customWidth="1"/>
    <col min="15" max="15" width="9.09765625" customWidth="1"/>
    <col min="16" max="26" width="8.59765625" customWidth="1"/>
  </cols>
  <sheetData>
    <row r="1" spans="1:26" ht="13.8" customHeight="1" x14ac:dyDescent="0.25">
      <c r="A1" s="72" t="s">
        <v>4</v>
      </c>
      <c r="B1" s="73"/>
      <c r="C1" s="73"/>
      <c r="D1" s="73"/>
      <c r="E1" s="73"/>
      <c r="F1" s="73"/>
      <c r="G1" s="74"/>
    </row>
    <row r="2" spans="1:26" ht="14.4" customHeight="1" x14ac:dyDescent="0.3">
      <c r="A2" s="9" t="s">
        <v>5</v>
      </c>
      <c r="B2" s="10"/>
      <c r="C2" s="10"/>
      <c r="D2" s="11"/>
      <c r="E2" s="69" t="s">
        <v>62</v>
      </c>
      <c r="F2" s="70"/>
      <c r="G2" s="71"/>
      <c r="W2" s="12"/>
      <c r="X2" s="12"/>
      <c r="Y2" s="12"/>
      <c r="Z2" s="12"/>
    </row>
    <row r="3" spans="1:26" ht="14.4" customHeight="1" x14ac:dyDescent="0.3">
      <c r="A3" s="13" t="s">
        <v>6</v>
      </c>
      <c r="B3" s="14"/>
      <c r="C3" s="14"/>
      <c r="D3" s="15"/>
      <c r="E3" s="78" t="s">
        <v>63</v>
      </c>
      <c r="F3" s="76"/>
      <c r="G3" s="77"/>
      <c r="W3" s="12"/>
      <c r="X3" s="12"/>
      <c r="Y3" s="12"/>
      <c r="Z3" s="12"/>
    </row>
    <row r="4" spans="1:26" ht="14.4" customHeight="1" x14ac:dyDescent="0.3">
      <c r="A4" s="13" t="s">
        <v>7</v>
      </c>
      <c r="B4" s="14"/>
      <c r="C4" s="14"/>
      <c r="D4" s="15"/>
      <c r="E4" s="75" t="s">
        <v>8</v>
      </c>
      <c r="F4" s="76"/>
      <c r="G4" s="77"/>
      <c r="Q4" s="1"/>
      <c r="R4" s="1"/>
      <c r="W4" s="12"/>
      <c r="X4" s="12"/>
      <c r="Y4" s="12"/>
      <c r="Z4" s="12"/>
    </row>
    <row r="5" spans="1:26" ht="14.4" customHeight="1" x14ac:dyDescent="0.3">
      <c r="E5" s="1"/>
      <c r="F5" s="1"/>
      <c r="G5" s="1"/>
      <c r="Q5" s="1"/>
      <c r="R5" s="1"/>
      <c r="W5" s="12"/>
      <c r="X5" s="12"/>
      <c r="Y5" s="12"/>
      <c r="Z5" s="12"/>
    </row>
    <row r="6" spans="1:26" ht="14.4" customHeight="1" x14ac:dyDescent="0.3">
      <c r="D6" s="16"/>
      <c r="E6" s="2"/>
    </row>
    <row r="7" spans="1:26" ht="24.6" customHeight="1" x14ac:dyDescent="0.25">
      <c r="A7" s="79" t="s">
        <v>9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4"/>
    </row>
    <row r="8" spans="1:26" ht="13.8" customHeight="1" x14ac:dyDescent="0.25">
      <c r="A8" s="17" t="s">
        <v>10</v>
      </c>
      <c r="B8" s="18" t="s">
        <v>11</v>
      </c>
      <c r="C8" s="19" t="s">
        <v>12</v>
      </c>
      <c r="D8" s="20" t="s">
        <v>13</v>
      </c>
      <c r="E8" s="20" t="s">
        <v>14</v>
      </c>
      <c r="F8" s="20" t="s">
        <v>15</v>
      </c>
      <c r="G8" s="20" t="s">
        <v>16</v>
      </c>
      <c r="H8" s="20" t="s">
        <v>17</v>
      </c>
      <c r="I8" s="20" t="s">
        <v>18</v>
      </c>
      <c r="J8" s="20" t="s">
        <v>19</v>
      </c>
      <c r="K8" s="20" t="s">
        <v>20</v>
      </c>
      <c r="L8" s="20" t="s">
        <v>21</v>
      </c>
      <c r="M8" s="20" t="s">
        <v>22</v>
      </c>
      <c r="N8" s="20" t="s">
        <v>23</v>
      </c>
      <c r="O8" s="20" t="s">
        <v>24</v>
      </c>
      <c r="P8" s="20" t="s">
        <v>25</v>
      </c>
      <c r="Q8" s="20" t="s">
        <v>26</v>
      </c>
      <c r="R8" s="20" t="s">
        <v>27</v>
      </c>
      <c r="S8" s="20" t="s">
        <v>28</v>
      </c>
      <c r="T8" s="20" t="s">
        <v>29</v>
      </c>
      <c r="U8" s="20" t="s">
        <v>30</v>
      </c>
      <c r="V8" s="20" t="s">
        <v>31</v>
      </c>
      <c r="W8" s="20" t="s">
        <v>32</v>
      </c>
      <c r="X8" s="20" t="s">
        <v>33</v>
      </c>
      <c r="Y8" s="20" t="s">
        <v>34</v>
      </c>
      <c r="Z8" s="21" t="s">
        <v>35</v>
      </c>
    </row>
    <row r="9" spans="1:26" ht="13.8" customHeight="1" x14ac:dyDescent="0.25">
      <c r="A9" s="22" t="s">
        <v>36</v>
      </c>
      <c r="B9" s="23" t="s">
        <v>37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4">
        <v>0.15559999999999999</v>
      </c>
      <c r="M9" s="24">
        <v>0.18279999999999999</v>
      </c>
      <c r="N9" s="24">
        <v>0.1928</v>
      </c>
      <c r="O9" s="24">
        <v>0.1862</v>
      </c>
      <c r="P9" s="24">
        <v>0.16439999999999999</v>
      </c>
      <c r="Q9" s="24">
        <v>0.13589999999999999</v>
      </c>
      <c r="R9" s="24">
        <v>8.9700000000000002E-2</v>
      </c>
      <c r="S9" s="24">
        <v>3.5099999999999999E-2</v>
      </c>
      <c r="T9" s="24">
        <v>1.1999999999999999E-3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</row>
    <row r="10" spans="1:26" ht="13.8" customHeight="1" x14ac:dyDescent="0.25">
      <c r="A10" s="22" t="s">
        <v>36</v>
      </c>
      <c r="B10" s="23" t="s">
        <v>38</v>
      </c>
      <c r="C10" s="24">
        <v>0</v>
      </c>
      <c r="D10" s="24">
        <v>0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</row>
    <row r="11" spans="1:26" ht="13.8" customHeight="1" x14ac:dyDescent="0.25">
      <c r="A11" s="22" t="s">
        <v>39</v>
      </c>
      <c r="B11" s="23" t="s">
        <v>37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1.4200000000000001E-2</v>
      </c>
      <c r="J11" s="24">
        <v>5.67E-2</v>
      </c>
      <c r="K11" s="24">
        <v>0.1074</v>
      </c>
      <c r="L11" s="24">
        <v>0.1515</v>
      </c>
      <c r="M11" s="24">
        <v>0.17449999999999999</v>
      </c>
      <c r="N11" s="24">
        <v>0.18049999999999999</v>
      </c>
      <c r="O11" s="24">
        <v>0.17549999999999999</v>
      </c>
      <c r="P11" s="24">
        <v>0.152</v>
      </c>
      <c r="Q11" s="24">
        <v>0.1115</v>
      </c>
      <c r="R11" s="24">
        <v>4.3200000000000002E-2</v>
      </c>
      <c r="S11" s="24">
        <v>9.5999999999999992E-3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</row>
    <row r="12" spans="1:26" ht="13.8" customHeight="1" x14ac:dyDescent="0.25">
      <c r="A12" s="22" t="s">
        <v>39</v>
      </c>
      <c r="B12" s="23" t="s">
        <v>38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</row>
    <row r="13" spans="1:26" ht="13.8" customHeight="1" x14ac:dyDescent="0.25">
      <c r="A13" s="22" t="s">
        <v>40</v>
      </c>
      <c r="B13" s="23" t="s">
        <v>37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24">
        <v>1.2999999999999999E-2</v>
      </c>
      <c r="J13" s="24">
        <v>3.7900000000000003E-2</v>
      </c>
      <c r="K13" s="24">
        <v>7.7899999999999997E-2</v>
      </c>
      <c r="L13" s="24">
        <v>0.1305</v>
      </c>
      <c r="M13" s="24">
        <v>0.14369999999999999</v>
      </c>
      <c r="N13" s="24">
        <v>0.1457</v>
      </c>
      <c r="O13" s="24">
        <v>0.12130000000000001</v>
      </c>
      <c r="P13" s="24">
        <v>0.12039999999999999</v>
      </c>
      <c r="Q13" s="24">
        <v>9.06E-2</v>
      </c>
      <c r="R13" s="24">
        <v>5.7099999999999998E-2</v>
      </c>
      <c r="S13" s="24">
        <v>2.2800000000000001E-2</v>
      </c>
      <c r="T13" s="24">
        <v>6.9999999999999999E-4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</row>
    <row r="14" spans="1:26" ht="13.8" customHeight="1" x14ac:dyDescent="0.25">
      <c r="A14" s="22" t="s">
        <v>40</v>
      </c>
      <c r="B14" s="23" t="s">
        <v>38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24">
        <v>3.7000000000000002E-3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</row>
    <row r="15" spans="1:26" ht="13.8" customHeight="1" x14ac:dyDescent="0.25">
      <c r="A15" s="22" t="s">
        <v>41</v>
      </c>
      <c r="B15" s="23" t="s">
        <v>37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  <c r="H15" s="24">
        <v>0</v>
      </c>
      <c r="I15" s="24">
        <v>1.6000000000000001E-3</v>
      </c>
      <c r="J15" s="24">
        <v>2.1000000000000001E-2</v>
      </c>
      <c r="K15" s="24">
        <v>3.3399999999999999E-2</v>
      </c>
      <c r="L15" s="24">
        <v>4.6699999999999998E-2</v>
      </c>
      <c r="M15" s="24">
        <v>5.6099999999999997E-2</v>
      </c>
      <c r="N15" s="24">
        <v>6.59E-2</v>
      </c>
      <c r="O15" s="24">
        <v>5.8400000000000001E-2</v>
      </c>
      <c r="P15" s="24">
        <v>5.5100000000000003E-2</v>
      </c>
      <c r="Q15" s="24">
        <v>4.24E-2</v>
      </c>
      <c r="R15" s="24">
        <v>2.5600000000000001E-2</v>
      </c>
      <c r="S15" s="24">
        <v>1.23E-2</v>
      </c>
      <c r="T15" s="24">
        <v>4.0000000000000002E-4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</row>
    <row r="16" spans="1:26" ht="13.8" customHeight="1" x14ac:dyDescent="0.25">
      <c r="A16" s="22" t="s">
        <v>41</v>
      </c>
      <c r="B16" s="23" t="s">
        <v>38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</row>
    <row r="17" spans="1:26" ht="13.8" customHeight="1" x14ac:dyDescent="0.25">
      <c r="A17" s="22" t="s">
        <v>42</v>
      </c>
      <c r="B17" s="23" t="s">
        <v>37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3.8999999999999998E-3</v>
      </c>
      <c r="J17" s="24">
        <v>2.8400000000000002E-2</v>
      </c>
      <c r="K17" s="24">
        <v>4.7699999999999999E-2</v>
      </c>
      <c r="L17" s="24">
        <v>4.65E-2</v>
      </c>
      <c r="M17" s="24">
        <v>0.05</v>
      </c>
      <c r="N17" s="24">
        <v>6.7699999999999996E-2</v>
      </c>
      <c r="O17" s="24">
        <v>6.8500000000000005E-2</v>
      </c>
      <c r="P17" s="24">
        <v>5.4600000000000003E-2</v>
      </c>
      <c r="Q17" s="24">
        <v>9.4000000000000004E-3</v>
      </c>
      <c r="R17" s="24">
        <v>7.0000000000000001E-3</v>
      </c>
      <c r="S17" s="24">
        <v>4.8999999999999998E-3</v>
      </c>
      <c r="T17" s="24">
        <v>2.0000000000000001E-4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</row>
    <row r="18" spans="1:26" ht="13.8" customHeight="1" x14ac:dyDescent="0.25">
      <c r="A18" s="22" t="s">
        <v>42</v>
      </c>
      <c r="B18" s="23" t="s">
        <v>38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</row>
    <row r="19" spans="1:26" ht="13.8" customHeight="1" x14ac:dyDescent="0.25">
      <c r="A19" s="22" t="s">
        <v>43</v>
      </c>
      <c r="B19" s="23" t="s">
        <v>37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3.0000000000000001E-3</v>
      </c>
      <c r="J19" s="24">
        <v>3.4799999999999998E-2</v>
      </c>
      <c r="K19" s="24">
        <v>6.6100000000000006E-2</v>
      </c>
      <c r="L19" s="24">
        <v>8.6499999999999994E-2</v>
      </c>
      <c r="M19" s="24">
        <v>6.3399999999999998E-2</v>
      </c>
      <c r="N19" s="24">
        <v>7.7600000000000002E-2</v>
      </c>
      <c r="O19" s="24">
        <v>7.4700000000000003E-2</v>
      </c>
      <c r="P19" s="24">
        <v>5.8299999999999998E-2</v>
      </c>
      <c r="Q19" s="24">
        <v>1.14E-2</v>
      </c>
      <c r="R19" s="24">
        <v>1.11E-2</v>
      </c>
      <c r="S19" s="24">
        <v>1.04E-2</v>
      </c>
      <c r="T19" s="24">
        <v>4.0000000000000002E-4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</row>
    <row r="20" spans="1:26" ht="13.8" customHeight="1" x14ac:dyDescent="0.25">
      <c r="A20" s="22" t="s">
        <v>43</v>
      </c>
      <c r="B20" s="23" t="s">
        <v>38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</row>
    <row r="21" spans="1:26" ht="15.75" customHeight="1" x14ac:dyDescent="0.25">
      <c r="A21" s="22" t="s">
        <v>44</v>
      </c>
      <c r="B21" s="23" t="s">
        <v>37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4">
        <v>6.4999999999999997E-3</v>
      </c>
      <c r="J21" s="24">
        <v>4.0500000000000001E-2</v>
      </c>
      <c r="K21" s="24">
        <v>9.4700000000000006E-2</v>
      </c>
      <c r="L21" s="24">
        <v>0.1263</v>
      </c>
      <c r="M21" s="24">
        <v>0.1351</v>
      </c>
      <c r="N21" s="24">
        <v>0.14879999999999999</v>
      </c>
      <c r="O21" s="24">
        <v>0.15959999999999999</v>
      </c>
      <c r="P21" s="24">
        <v>0.1288</v>
      </c>
      <c r="Q21" s="24">
        <v>0.10199999999999999</v>
      </c>
      <c r="R21" s="24">
        <v>6.0100000000000001E-2</v>
      </c>
      <c r="S21" s="24">
        <v>1.6E-2</v>
      </c>
      <c r="T21" s="24">
        <v>6.9999999999999999E-4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</row>
    <row r="22" spans="1:26" ht="15.75" customHeight="1" x14ac:dyDescent="0.25">
      <c r="A22" s="22" t="s">
        <v>44</v>
      </c>
      <c r="B22" s="23" t="s">
        <v>38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</row>
    <row r="23" spans="1:26" ht="15.75" customHeight="1" x14ac:dyDescent="0.25">
      <c r="A23" s="22" t="s">
        <v>45</v>
      </c>
      <c r="B23" s="23" t="s">
        <v>37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6.4999999999999997E-3</v>
      </c>
      <c r="J23" s="24">
        <v>4.0500000000000001E-2</v>
      </c>
      <c r="K23" s="24">
        <v>9.4700000000000006E-2</v>
      </c>
      <c r="L23" s="24">
        <v>0.1263</v>
      </c>
      <c r="M23" s="24">
        <v>0.1351</v>
      </c>
      <c r="N23" s="24">
        <v>0.14879999999999999</v>
      </c>
      <c r="O23" s="24">
        <v>0.15959999999999999</v>
      </c>
      <c r="P23" s="24">
        <v>0.1288</v>
      </c>
      <c r="Q23" s="24">
        <v>0.10199999999999999</v>
      </c>
      <c r="R23" s="24">
        <v>6.0100000000000001E-2</v>
      </c>
      <c r="S23" s="24">
        <v>1.6E-2</v>
      </c>
      <c r="T23" s="24">
        <v>6.9999999999999999E-4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</row>
    <row r="24" spans="1:26" ht="15.75" customHeight="1" x14ac:dyDescent="0.25">
      <c r="A24" s="22" t="s">
        <v>45</v>
      </c>
      <c r="B24" s="23" t="s">
        <v>38</v>
      </c>
      <c r="C24" s="24">
        <v>0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</row>
    <row r="25" spans="1:26" ht="15.75" customHeight="1" x14ac:dyDescent="0.25">
      <c r="A25" s="22" t="s">
        <v>46</v>
      </c>
      <c r="B25" s="23" t="s">
        <v>37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6.4999999999999997E-3</v>
      </c>
      <c r="J25" s="24">
        <v>4.0500000000000001E-2</v>
      </c>
      <c r="K25" s="24">
        <v>9.4700000000000006E-2</v>
      </c>
      <c r="L25" s="24">
        <v>0.1263</v>
      </c>
      <c r="M25" s="24">
        <v>0.1351</v>
      </c>
      <c r="N25" s="24">
        <v>0.14879999999999999</v>
      </c>
      <c r="O25" s="24">
        <v>0.15959999999999999</v>
      </c>
      <c r="P25" s="24">
        <v>0.1288</v>
      </c>
      <c r="Q25" s="24">
        <v>0.10199999999999999</v>
      </c>
      <c r="R25" s="24">
        <v>6.0100000000000001E-2</v>
      </c>
      <c r="S25" s="24">
        <v>1.6E-2</v>
      </c>
      <c r="T25" s="24">
        <v>6.9999999999999999E-4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</row>
    <row r="26" spans="1:26" ht="15.75" customHeight="1" x14ac:dyDescent="0.25">
      <c r="A26" s="22" t="s">
        <v>46</v>
      </c>
      <c r="B26" s="23" t="s">
        <v>38</v>
      </c>
      <c r="C26" s="24">
        <v>0</v>
      </c>
      <c r="D26" s="24">
        <v>0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</row>
    <row r="27" spans="1:26" ht="15.75" customHeight="1" x14ac:dyDescent="0.25">
      <c r="A27" s="22" t="s">
        <v>47</v>
      </c>
      <c r="B27" s="23" t="s">
        <v>37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6.4999999999999997E-3</v>
      </c>
      <c r="J27" s="24">
        <v>4.0500000000000001E-2</v>
      </c>
      <c r="K27" s="24">
        <v>9.4700000000000006E-2</v>
      </c>
      <c r="L27" s="24">
        <v>0.1263</v>
      </c>
      <c r="M27" s="24">
        <v>0.1351</v>
      </c>
      <c r="N27" s="24">
        <v>0.14879999999999999</v>
      </c>
      <c r="O27" s="24">
        <v>0.15959999999999999</v>
      </c>
      <c r="P27" s="24">
        <v>0.1288</v>
      </c>
      <c r="Q27" s="24">
        <v>0.10199999999999999</v>
      </c>
      <c r="R27" s="24">
        <v>6.0100000000000001E-2</v>
      </c>
      <c r="S27" s="24">
        <v>1.6E-2</v>
      </c>
      <c r="T27" s="24">
        <v>6.9999999999999999E-4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</row>
    <row r="28" spans="1:26" ht="15.75" customHeight="1" x14ac:dyDescent="0.25">
      <c r="A28" s="22" t="s">
        <v>47</v>
      </c>
      <c r="B28" s="23" t="s">
        <v>38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</row>
    <row r="29" spans="1:26" ht="15.75" customHeight="1" x14ac:dyDescent="0.25">
      <c r="A29" s="22" t="s">
        <v>48</v>
      </c>
      <c r="B29" s="23" t="s">
        <v>37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6.4999999999999997E-3</v>
      </c>
      <c r="J29" s="24">
        <v>4.0500000000000001E-2</v>
      </c>
      <c r="K29" s="24">
        <v>9.4700000000000006E-2</v>
      </c>
      <c r="L29" s="24">
        <v>0.1263</v>
      </c>
      <c r="M29" s="24">
        <v>0.1351</v>
      </c>
      <c r="N29" s="24">
        <v>0.14879999999999999</v>
      </c>
      <c r="O29" s="24">
        <v>0.15959999999999999</v>
      </c>
      <c r="P29" s="24">
        <v>0.1288</v>
      </c>
      <c r="Q29" s="24">
        <v>0.10199999999999999</v>
      </c>
      <c r="R29" s="24">
        <v>6.0100000000000001E-2</v>
      </c>
      <c r="S29" s="24">
        <v>1.6E-2</v>
      </c>
      <c r="T29" s="24">
        <v>6.9999999999999999E-4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</row>
    <row r="30" spans="1:26" ht="15.75" customHeight="1" x14ac:dyDescent="0.25">
      <c r="A30" s="22" t="s">
        <v>48</v>
      </c>
      <c r="B30" s="23" t="s">
        <v>38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</row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E2:G2"/>
    <mergeCell ref="A1:G1"/>
    <mergeCell ref="E4:G4"/>
    <mergeCell ref="E3:G3"/>
    <mergeCell ref="A7:Z7"/>
  </mergeCells>
  <conditionalFormatting sqref="C9:Z30">
    <cfRule type="cellIs" dxfId="27" priority="1" operator="greaterThan">
      <formula>#REF!</formula>
    </cfRule>
    <cfRule type="cellIs" dxfId="26" priority="2" operator="lessThan">
      <formula>0</formula>
    </cfRule>
  </conditionalFormatting>
  <dataValidations disablePrompts="1" count="2">
    <dataValidation type="list" allowBlank="1" showInputMessage="1" showErrorMessage="1" prompt="OBOWIĄZKOWE GDY MWE TYPU HYBRID - Proszę uzupełnić w sytuacji kiedy MWE hybrydowe tj. MWE ma kilka źródeł o różnych typach." sqref="E4 E5:G5" xr:uid="{00000000-0002-0000-0200-000000000000}">
      <formula1>"Woda (H),Cieplne (T),Wiatr (W),Fotowoltaika (P),Magazyny (S),Inne (O)"</formula1>
    </dataValidation>
    <dataValidation type="list" allowBlank="1" showInputMessage="1" showErrorMessage="1" prompt="Proszę uzupełnić - Proszę uzupełnić w sytuacji kiedy MWE hybrydowe." sqref="Q4:R5" xr:uid="{00000000-0002-0000-0200-000001000000}">
      <formula1>"H,T,W,P,S"</formula1>
    </dataValidation>
  </dataValidations>
  <pageMargins left="0.7" right="0.7" top="0.75" bottom="0.75" header="0" footer="0"/>
  <pageSetup orientation="landscape"/>
  <headerFooter>
    <oddHeader>&amp;L&amp;"Arial"&amp;8&amp;K000000 INTERNAL&amp;1#_x000D_&amp;"Arial"&amp;11&amp;K000000&amp;"Arial"&amp;1 &amp;K000000 INTERNAL#_x000D_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98"/>
  <sheetViews>
    <sheetView zoomScale="55" zoomScaleNormal="55" workbookViewId="0">
      <selection activeCell="G17" sqref="G17"/>
    </sheetView>
  </sheetViews>
  <sheetFormatPr defaultColWidth="12.59765625" defaultRowHeight="15" customHeight="1" x14ac:dyDescent="0.25"/>
  <cols>
    <col min="1" max="1" width="25.3984375" customWidth="1"/>
    <col min="2" max="2" width="25" customWidth="1"/>
    <col min="3" max="25" width="9.3984375" customWidth="1"/>
    <col min="26" max="26" width="11.8984375" customWidth="1"/>
    <col min="27" max="27" width="8.59765625" customWidth="1"/>
    <col min="29" max="29" width="12.59765625" customWidth="1"/>
  </cols>
  <sheetData>
    <row r="1" spans="1:28" ht="28.5" customHeight="1" thickBot="1" x14ac:dyDescent="0.3">
      <c r="A1" s="94" t="s">
        <v>49</v>
      </c>
      <c r="B1" s="87" t="s">
        <v>11</v>
      </c>
      <c r="C1" s="86" t="s">
        <v>0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5"/>
    </row>
    <row r="2" spans="1:28" ht="28.5" customHeight="1" thickBot="1" x14ac:dyDescent="0.3">
      <c r="A2" s="92"/>
      <c r="B2" s="88"/>
      <c r="C2" s="31" t="s">
        <v>12</v>
      </c>
      <c r="D2" s="32" t="s">
        <v>13</v>
      </c>
      <c r="E2" s="32" t="s">
        <v>14</v>
      </c>
      <c r="F2" s="32" t="s">
        <v>15</v>
      </c>
      <c r="G2" s="32" t="s">
        <v>16</v>
      </c>
      <c r="H2" s="32" t="s">
        <v>17</v>
      </c>
      <c r="I2" s="32" t="s">
        <v>18</v>
      </c>
      <c r="J2" s="32" t="s">
        <v>19</v>
      </c>
      <c r="K2" s="32" t="s">
        <v>20</v>
      </c>
      <c r="L2" s="32" t="s">
        <v>21</v>
      </c>
      <c r="M2" s="32" t="s">
        <v>22</v>
      </c>
      <c r="N2" s="32" t="s">
        <v>23</v>
      </c>
      <c r="O2" s="32" t="s">
        <v>24</v>
      </c>
      <c r="P2" s="32" t="s">
        <v>25</v>
      </c>
      <c r="Q2" s="32" t="s">
        <v>26</v>
      </c>
      <c r="R2" s="32" t="s">
        <v>27</v>
      </c>
      <c r="S2" s="32" t="s">
        <v>28</v>
      </c>
      <c r="T2" s="32" t="s">
        <v>29</v>
      </c>
      <c r="U2" s="32" t="s">
        <v>30</v>
      </c>
      <c r="V2" s="32" t="s">
        <v>31</v>
      </c>
      <c r="W2" s="32" t="s">
        <v>32</v>
      </c>
      <c r="X2" s="32" t="s">
        <v>33</v>
      </c>
      <c r="Y2" s="32" t="s">
        <v>34</v>
      </c>
      <c r="Z2" s="63" t="s">
        <v>35</v>
      </c>
    </row>
    <row r="3" spans="1:28" ht="28.5" customHeight="1" x14ac:dyDescent="0.25">
      <c r="A3" s="92"/>
      <c r="B3" s="55" t="s">
        <v>50</v>
      </c>
      <c r="C3" s="33">
        <v>0.16500000000000001</v>
      </c>
      <c r="D3" s="34">
        <v>0.17</v>
      </c>
      <c r="E3" s="34">
        <v>0.14699999999999999</v>
      </c>
      <c r="F3" s="34">
        <v>0.15</v>
      </c>
      <c r="G3" s="34">
        <v>0.155</v>
      </c>
      <c r="H3" s="34">
        <v>0.183</v>
      </c>
      <c r="I3" s="34">
        <v>0.16200000000000001</v>
      </c>
      <c r="J3" s="34">
        <v>0.19500000000000001</v>
      </c>
      <c r="K3" s="34">
        <v>0.21</v>
      </c>
      <c r="L3" s="34">
        <v>0.218</v>
      </c>
      <c r="M3" s="34">
        <v>0.22600000000000001</v>
      </c>
      <c r="N3" s="34">
        <v>0.26200000000000001</v>
      </c>
      <c r="O3" s="34">
        <v>0.25900000000000001</v>
      </c>
      <c r="P3" s="34">
        <v>0.24</v>
      </c>
      <c r="Q3" s="34">
        <v>0.22800000000000001</v>
      </c>
      <c r="R3" s="34">
        <v>0.219</v>
      </c>
      <c r="S3" s="34">
        <v>0.19800000000000001</v>
      </c>
      <c r="T3" s="34">
        <v>0.21099999999999999</v>
      </c>
      <c r="U3" s="34">
        <v>0.18</v>
      </c>
      <c r="V3" s="34">
        <v>0.17</v>
      </c>
      <c r="W3" s="34">
        <v>0.20200000000000001</v>
      </c>
      <c r="X3" s="34">
        <v>0.16600000000000001</v>
      </c>
      <c r="Y3" s="34">
        <v>0.16</v>
      </c>
      <c r="Z3" s="35">
        <v>0.157</v>
      </c>
      <c r="AA3" s="30" t="s">
        <v>51</v>
      </c>
    </row>
    <row r="4" spans="1:28" ht="28.5" customHeight="1" x14ac:dyDescent="0.25">
      <c r="A4" s="92"/>
      <c r="B4" s="56" t="s">
        <v>52</v>
      </c>
      <c r="C4" s="28">
        <v>0.14399999999999999</v>
      </c>
      <c r="D4" s="29">
        <v>0.128</v>
      </c>
      <c r="E4" s="29">
        <v>0.14699999999999999</v>
      </c>
      <c r="F4" s="29">
        <v>0.14299999999999999</v>
      </c>
      <c r="G4" s="29">
        <v>0.152</v>
      </c>
      <c r="H4" s="29">
        <v>0.17299999999999999</v>
      </c>
      <c r="I4" s="29">
        <v>0.17199999999999999</v>
      </c>
      <c r="J4" s="29">
        <v>0.17299999999999999</v>
      </c>
      <c r="K4" s="29">
        <v>0.183</v>
      </c>
      <c r="L4" s="29">
        <v>0.191</v>
      </c>
      <c r="M4" s="29">
        <v>0.18</v>
      </c>
      <c r="N4" s="29">
        <v>0.19800000000000001</v>
      </c>
      <c r="O4" s="29">
        <v>0.19600000000000001</v>
      </c>
      <c r="P4" s="29">
        <v>0.188</v>
      </c>
      <c r="Q4" s="29">
        <v>0.20599999999999999</v>
      </c>
      <c r="R4" s="29">
        <v>0.186</v>
      </c>
      <c r="S4" s="29">
        <v>0.17499999999999999</v>
      </c>
      <c r="T4" s="29">
        <v>0.17100000000000001</v>
      </c>
      <c r="U4" s="29">
        <v>0.15</v>
      </c>
      <c r="V4" s="29">
        <v>0.151</v>
      </c>
      <c r="W4" s="29">
        <v>0.159</v>
      </c>
      <c r="X4" s="29">
        <v>0.15</v>
      </c>
      <c r="Y4" s="29">
        <v>0.14199999999999999</v>
      </c>
      <c r="Z4" s="36">
        <v>0.14099999999999999</v>
      </c>
      <c r="AA4" s="30" t="s">
        <v>51</v>
      </c>
    </row>
    <row r="5" spans="1:28" ht="28.5" customHeight="1" x14ac:dyDescent="0.25">
      <c r="A5" s="92"/>
      <c r="B5" s="56" t="s">
        <v>53</v>
      </c>
      <c r="C5" s="28">
        <v>0.16800000000000001</v>
      </c>
      <c r="D5" s="29">
        <v>0.154</v>
      </c>
      <c r="E5" s="29">
        <v>0.14299999999999999</v>
      </c>
      <c r="F5" s="29">
        <v>0.14299999999999999</v>
      </c>
      <c r="G5" s="29">
        <v>0.16400000000000001</v>
      </c>
      <c r="H5" s="29">
        <v>0.17199999999999999</v>
      </c>
      <c r="I5" s="29">
        <v>0.156</v>
      </c>
      <c r="J5" s="29">
        <v>0.15</v>
      </c>
      <c r="K5" s="29">
        <v>0.14099999999999999</v>
      </c>
      <c r="L5" s="29">
        <v>0.14599999999999999</v>
      </c>
      <c r="M5" s="29">
        <v>0.14000000000000001</v>
      </c>
      <c r="N5" s="29">
        <v>0.14899999999999999</v>
      </c>
      <c r="O5" s="29">
        <v>0.154</v>
      </c>
      <c r="P5" s="29">
        <v>0.14599999999999999</v>
      </c>
      <c r="Q5" s="29">
        <v>0.155</v>
      </c>
      <c r="R5" s="29">
        <v>0.14199999999999999</v>
      </c>
      <c r="S5" s="29">
        <v>0.14199999999999999</v>
      </c>
      <c r="T5" s="29">
        <v>0.16300000000000001</v>
      </c>
      <c r="U5" s="29">
        <v>0.17100000000000001</v>
      </c>
      <c r="V5" s="29">
        <v>0.13300000000000001</v>
      </c>
      <c r="W5" s="29">
        <v>0.13500000000000001</v>
      </c>
      <c r="X5" s="29">
        <v>0.13800000000000001</v>
      </c>
      <c r="Y5" s="29">
        <v>0.13400000000000001</v>
      </c>
      <c r="Z5" s="36">
        <v>0.13</v>
      </c>
      <c r="AA5" s="30" t="s">
        <v>51</v>
      </c>
      <c r="AB5" s="67" t="s">
        <v>54</v>
      </c>
    </row>
    <row r="6" spans="1:28" ht="28.5" customHeight="1" x14ac:dyDescent="0.25">
      <c r="A6" s="92"/>
      <c r="B6" s="57" t="s">
        <v>55</v>
      </c>
      <c r="C6" s="25">
        <v>0</v>
      </c>
      <c r="D6" s="26">
        <v>0</v>
      </c>
      <c r="E6" s="26">
        <v>0</v>
      </c>
      <c r="F6" s="26">
        <v>0</v>
      </c>
      <c r="G6" s="26">
        <v>0</v>
      </c>
      <c r="H6" s="27">
        <v>0</v>
      </c>
      <c r="I6" s="25">
        <v>111.8</v>
      </c>
      <c r="J6" s="26">
        <v>326.8</v>
      </c>
      <c r="K6" s="26">
        <v>551</v>
      </c>
      <c r="L6" s="26">
        <v>748</v>
      </c>
      <c r="M6" s="26">
        <v>897.4</v>
      </c>
      <c r="N6" s="26">
        <v>990.4</v>
      </c>
      <c r="O6" s="26">
        <v>1014.2</v>
      </c>
      <c r="P6" s="26">
        <v>979.2</v>
      </c>
      <c r="Q6" s="26">
        <v>877.2</v>
      </c>
      <c r="R6" s="26">
        <v>726.9</v>
      </c>
      <c r="S6" s="26">
        <v>524</v>
      </c>
      <c r="T6" s="26">
        <v>299.5</v>
      </c>
      <c r="U6" s="26">
        <v>91.4</v>
      </c>
      <c r="V6" s="26">
        <v>29.3</v>
      </c>
      <c r="W6" s="26">
        <v>0</v>
      </c>
      <c r="X6" s="26">
        <v>0</v>
      </c>
      <c r="Y6" s="26">
        <v>0</v>
      </c>
      <c r="Z6" s="37">
        <v>0</v>
      </c>
      <c r="AA6" s="41" t="s">
        <v>56</v>
      </c>
      <c r="AB6" s="67" t="s">
        <v>57</v>
      </c>
    </row>
    <row r="7" spans="1:28" ht="28.5" customHeight="1" thickBot="1" x14ac:dyDescent="0.3">
      <c r="A7" s="93"/>
      <c r="B7" s="58" t="s">
        <v>58</v>
      </c>
      <c r="C7" s="38">
        <v>0</v>
      </c>
      <c r="D7" s="39">
        <v>0</v>
      </c>
      <c r="E7" s="39">
        <v>0</v>
      </c>
      <c r="F7" s="39">
        <v>0</v>
      </c>
      <c r="G7" s="39">
        <v>0</v>
      </c>
      <c r="H7" s="39">
        <v>0</v>
      </c>
      <c r="I7" s="39">
        <v>3.1E-2</v>
      </c>
      <c r="J7" s="39">
        <v>0.1</v>
      </c>
      <c r="K7" s="39">
        <v>0.187</v>
      </c>
      <c r="L7" s="39">
        <v>0.25900000000000001</v>
      </c>
      <c r="M7" s="39">
        <v>0.312</v>
      </c>
      <c r="N7" s="39">
        <v>0.34399999999999997</v>
      </c>
      <c r="O7" s="39">
        <v>0.36099999999999999</v>
      </c>
      <c r="P7" s="39">
        <v>0.35899999999999999</v>
      </c>
      <c r="Q7" s="39">
        <v>0.34100000000000003</v>
      </c>
      <c r="R7" s="39">
        <v>0.30299999999999999</v>
      </c>
      <c r="S7" s="39">
        <v>0.246</v>
      </c>
      <c r="T7" s="39">
        <v>0.17</v>
      </c>
      <c r="U7" s="39">
        <v>8.5999999999999993E-2</v>
      </c>
      <c r="V7" s="39">
        <v>2.7E-2</v>
      </c>
      <c r="W7" s="39">
        <v>0</v>
      </c>
      <c r="X7" s="39">
        <v>0</v>
      </c>
      <c r="Y7" s="39">
        <v>0</v>
      </c>
      <c r="Z7" s="40">
        <v>0</v>
      </c>
      <c r="AA7" s="30" t="s">
        <v>51</v>
      </c>
      <c r="AB7" s="68" t="s">
        <v>59</v>
      </c>
    </row>
    <row r="8" spans="1:28" ht="13.8" customHeight="1" x14ac:dyDescent="0.25"/>
    <row r="9" spans="1:28" ht="14.4" customHeight="1" thickBot="1" x14ac:dyDescent="0.3"/>
    <row r="10" spans="1:28" ht="27" customHeight="1" thickBot="1" x14ac:dyDescent="0.3">
      <c r="A10" s="91" t="s">
        <v>60</v>
      </c>
      <c r="B10" s="89" t="s">
        <v>10</v>
      </c>
      <c r="C10" s="80" t="s">
        <v>0</v>
      </c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2"/>
    </row>
    <row r="11" spans="1:28" ht="14.4" customHeight="1" thickBot="1" x14ac:dyDescent="0.3">
      <c r="A11" s="92"/>
      <c r="B11" s="90"/>
      <c r="C11" s="59" t="s">
        <v>12</v>
      </c>
      <c r="D11" s="60" t="s">
        <v>13</v>
      </c>
      <c r="E11" s="60" t="s">
        <v>14</v>
      </c>
      <c r="F11" s="60" t="s">
        <v>15</v>
      </c>
      <c r="G11" s="60" t="s">
        <v>16</v>
      </c>
      <c r="H11" s="60" t="s">
        <v>17</v>
      </c>
      <c r="I11" s="60" t="s">
        <v>18</v>
      </c>
      <c r="J11" s="60" t="s">
        <v>19</v>
      </c>
      <c r="K11" s="60" t="s">
        <v>20</v>
      </c>
      <c r="L11" s="60" t="s">
        <v>21</v>
      </c>
      <c r="M11" s="60" t="s">
        <v>22</v>
      </c>
      <c r="N11" s="60" t="s">
        <v>23</v>
      </c>
      <c r="O11" s="60" t="s">
        <v>24</v>
      </c>
      <c r="P11" s="60" t="s">
        <v>25</v>
      </c>
      <c r="Q11" s="60" t="s">
        <v>26</v>
      </c>
      <c r="R11" s="60" t="s">
        <v>27</v>
      </c>
      <c r="S11" s="60" t="s">
        <v>28</v>
      </c>
      <c r="T11" s="60" t="s">
        <v>29</v>
      </c>
      <c r="U11" s="60" t="s">
        <v>30</v>
      </c>
      <c r="V11" s="60" t="s">
        <v>31</v>
      </c>
      <c r="W11" s="60" t="s">
        <v>32</v>
      </c>
      <c r="X11" s="60" t="s">
        <v>33</v>
      </c>
      <c r="Y11" s="60" t="s">
        <v>34</v>
      </c>
      <c r="Z11" s="61" t="s">
        <v>35</v>
      </c>
    </row>
    <row r="12" spans="1:28" ht="13.8" customHeight="1" x14ac:dyDescent="0.25">
      <c r="A12" s="92"/>
      <c r="B12" s="65" t="s">
        <v>36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449.45</v>
      </c>
      <c r="M12" s="45">
        <v>525.9</v>
      </c>
      <c r="N12" s="45">
        <v>555.01</v>
      </c>
      <c r="O12" s="45">
        <v>523.24</v>
      </c>
      <c r="P12" s="45">
        <v>448.36</v>
      </c>
      <c r="Q12" s="45">
        <v>349.57</v>
      </c>
      <c r="R12" s="45">
        <v>215.3</v>
      </c>
      <c r="S12" s="45">
        <v>74.66</v>
      </c>
      <c r="T12" s="45">
        <v>2.14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62">
        <v>0</v>
      </c>
    </row>
    <row r="13" spans="1:28" ht="13.8" customHeight="1" x14ac:dyDescent="0.25">
      <c r="A13" s="92"/>
      <c r="B13" s="65" t="s">
        <v>39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0.25</v>
      </c>
      <c r="I13" s="45">
        <v>51.21</v>
      </c>
      <c r="J13" s="45">
        <v>185.17</v>
      </c>
      <c r="K13" s="45">
        <v>316.31</v>
      </c>
      <c r="L13" s="45">
        <v>437.52</v>
      </c>
      <c r="M13" s="45">
        <v>501.82</v>
      </c>
      <c r="N13" s="45">
        <v>519.69000000000005</v>
      </c>
      <c r="O13" s="45">
        <v>493.14</v>
      </c>
      <c r="P13" s="45">
        <v>414.67</v>
      </c>
      <c r="Q13" s="45">
        <v>286.95</v>
      </c>
      <c r="R13" s="45">
        <v>103.66</v>
      </c>
      <c r="S13" s="45">
        <v>20.350000000000001</v>
      </c>
      <c r="T13" s="45">
        <v>0.06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62">
        <v>0</v>
      </c>
    </row>
    <row r="14" spans="1:28" ht="15" customHeight="1" x14ac:dyDescent="0.25">
      <c r="A14" s="92"/>
      <c r="B14" s="65" t="s">
        <v>40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46.75</v>
      </c>
      <c r="J14" s="45">
        <v>123.93</v>
      </c>
      <c r="K14" s="45">
        <v>229.39</v>
      </c>
      <c r="L14" s="45">
        <v>376.92</v>
      </c>
      <c r="M14" s="45">
        <v>413.26</v>
      </c>
      <c r="N14" s="45">
        <v>419.62</v>
      </c>
      <c r="O14" s="45">
        <v>340.65</v>
      </c>
      <c r="P14" s="45">
        <v>328.44</v>
      </c>
      <c r="Q14" s="45">
        <v>232.95</v>
      </c>
      <c r="R14" s="45">
        <v>137.04</v>
      </c>
      <c r="S14" s="45">
        <v>48.59</v>
      </c>
      <c r="T14" s="45">
        <v>1.1599999999999999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62">
        <v>0</v>
      </c>
    </row>
    <row r="15" spans="1:28" ht="13.8" customHeight="1" x14ac:dyDescent="0.25">
      <c r="A15" s="92"/>
      <c r="B15" s="65" t="s">
        <v>41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0.17</v>
      </c>
      <c r="I15" s="45">
        <v>5.85</v>
      </c>
      <c r="J15" s="45">
        <v>68.650000000000006</v>
      </c>
      <c r="K15" s="45">
        <v>98.34</v>
      </c>
      <c r="L15" s="45">
        <v>134.79</v>
      </c>
      <c r="M15" s="45">
        <v>161.37</v>
      </c>
      <c r="N15" s="45">
        <v>189.63</v>
      </c>
      <c r="O15" s="45">
        <v>163.93</v>
      </c>
      <c r="P15" s="45">
        <v>150.33000000000001</v>
      </c>
      <c r="Q15" s="45">
        <v>109.16</v>
      </c>
      <c r="R15" s="45">
        <v>61.42</v>
      </c>
      <c r="S15" s="45">
        <v>26.24</v>
      </c>
      <c r="T15" s="45">
        <v>0.69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62">
        <v>0</v>
      </c>
    </row>
    <row r="16" spans="1:28" ht="13.8" customHeight="1" x14ac:dyDescent="0.25">
      <c r="A16" s="92"/>
      <c r="B16" s="65" t="s">
        <v>42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14.09</v>
      </c>
      <c r="J16" s="45">
        <v>92.89</v>
      </c>
      <c r="K16" s="45">
        <v>140.69</v>
      </c>
      <c r="L16" s="45">
        <v>134.16999999999999</v>
      </c>
      <c r="M16" s="45">
        <v>143.76</v>
      </c>
      <c r="N16" s="45">
        <v>194.97</v>
      </c>
      <c r="O16" s="45">
        <v>192.48</v>
      </c>
      <c r="P16" s="45">
        <v>148.94999999999999</v>
      </c>
      <c r="Q16" s="45">
        <v>24.21</v>
      </c>
      <c r="R16" s="45">
        <v>16.88</v>
      </c>
      <c r="S16" s="45">
        <v>10.41</v>
      </c>
      <c r="T16" s="45">
        <v>0.28999999999999998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62">
        <v>0</v>
      </c>
    </row>
    <row r="17" spans="1:26" ht="14.25" customHeight="1" x14ac:dyDescent="0.25">
      <c r="A17" s="92"/>
      <c r="B17" s="65" t="s">
        <v>43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10.73</v>
      </c>
      <c r="J17" s="45">
        <v>113.78</v>
      </c>
      <c r="K17" s="45">
        <v>194.9</v>
      </c>
      <c r="L17" s="45">
        <v>249.68</v>
      </c>
      <c r="M17" s="45">
        <v>182.45</v>
      </c>
      <c r="N17" s="45">
        <v>223.28</v>
      </c>
      <c r="O17" s="45">
        <v>209.81</v>
      </c>
      <c r="P17" s="45">
        <v>158.91</v>
      </c>
      <c r="Q17" s="45">
        <v>29.27</v>
      </c>
      <c r="R17" s="45">
        <v>26.71</v>
      </c>
      <c r="S17" s="45">
        <v>22.2</v>
      </c>
      <c r="T17" s="45">
        <v>0.71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62">
        <v>0</v>
      </c>
    </row>
    <row r="18" spans="1:26" ht="14.4" customHeight="1" thickBot="1" x14ac:dyDescent="0.3">
      <c r="A18" s="93"/>
      <c r="B18" s="66" t="s">
        <v>44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23.42</v>
      </c>
      <c r="J18" s="45">
        <v>132.38</v>
      </c>
      <c r="K18" s="45">
        <v>279.13</v>
      </c>
      <c r="L18" s="45">
        <v>364.7</v>
      </c>
      <c r="M18" s="45">
        <v>388.55</v>
      </c>
      <c r="N18" s="45">
        <v>428.41</v>
      </c>
      <c r="O18" s="45">
        <v>448.41</v>
      </c>
      <c r="P18" s="45">
        <v>351.2</v>
      </c>
      <c r="Q18" s="45">
        <v>262.26</v>
      </c>
      <c r="R18" s="45">
        <v>144.19</v>
      </c>
      <c r="S18" s="45">
        <v>34.020000000000003</v>
      </c>
      <c r="T18" s="45">
        <v>1.22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62">
        <v>0</v>
      </c>
    </row>
    <row r="19" spans="1:26" ht="13.8" customHeight="1" x14ac:dyDescent="0.25">
      <c r="A19" s="64"/>
    </row>
    <row r="20" spans="1:26" ht="13.8" customHeight="1" thickBot="1" x14ac:dyDescent="0.3">
      <c r="A20" s="64"/>
    </row>
    <row r="21" spans="1:26" ht="42" customHeight="1" thickBot="1" x14ac:dyDescent="0.3">
      <c r="A21" s="83" t="s">
        <v>61</v>
      </c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5"/>
    </row>
    <row r="22" spans="1:26" ht="15.75" customHeight="1" thickBot="1" x14ac:dyDescent="0.3">
      <c r="A22" s="46" t="s">
        <v>10</v>
      </c>
      <c r="B22" s="42" t="s">
        <v>11</v>
      </c>
      <c r="C22" s="47" t="s">
        <v>12</v>
      </c>
      <c r="D22" s="47" t="s">
        <v>13</v>
      </c>
      <c r="E22" s="47" t="s">
        <v>14</v>
      </c>
      <c r="F22" s="47" t="s">
        <v>15</v>
      </c>
      <c r="G22" s="47" t="s">
        <v>16</v>
      </c>
      <c r="H22" s="47" t="s">
        <v>17</v>
      </c>
      <c r="I22" s="47" t="s">
        <v>18</v>
      </c>
      <c r="J22" s="47" t="s">
        <v>19</v>
      </c>
      <c r="K22" s="47" t="s">
        <v>20</v>
      </c>
      <c r="L22" s="47" t="s">
        <v>21</v>
      </c>
      <c r="M22" s="47" t="s">
        <v>22</v>
      </c>
      <c r="N22" s="47" t="s">
        <v>23</v>
      </c>
      <c r="O22" s="47" t="s">
        <v>24</v>
      </c>
      <c r="P22" s="47" t="s">
        <v>25</v>
      </c>
      <c r="Q22" s="47" t="s">
        <v>26</v>
      </c>
      <c r="R22" s="47" t="s">
        <v>27</v>
      </c>
      <c r="S22" s="47" t="s">
        <v>28</v>
      </c>
      <c r="T22" s="47" t="s">
        <v>29</v>
      </c>
      <c r="U22" s="47" t="s">
        <v>30</v>
      </c>
      <c r="V22" s="47" t="s">
        <v>31</v>
      </c>
      <c r="W22" s="47" t="s">
        <v>32</v>
      </c>
      <c r="X22" s="47" t="s">
        <v>33</v>
      </c>
      <c r="Y22" s="47" t="s">
        <v>34</v>
      </c>
      <c r="Z22" s="48" t="s">
        <v>35</v>
      </c>
    </row>
    <row r="23" spans="1:26" ht="15.75" customHeight="1" x14ac:dyDescent="0.25">
      <c r="A23" s="49" t="s">
        <v>36</v>
      </c>
      <c r="B23" s="43" t="s">
        <v>37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0.15559999999999999</v>
      </c>
      <c r="M23" s="50">
        <v>0.18279999999999999</v>
      </c>
      <c r="N23" s="50">
        <v>0.1928</v>
      </c>
      <c r="O23" s="50">
        <v>0.1862</v>
      </c>
      <c r="P23" s="50">
        <v>0.16439999999999999</v>
      </c>
      <c r="Q23" s="50">
        <v>0.13589999999999999</v>
      </c>
      <c r="R23" s="50">
        <v>8.9700000000000002E-2</v>
      </c>
      <c r="S23" s="50">
        <v>3.5099999999999999E-2</v>
      </c>
      <c r="T23" s="50">
        <v>1.1999999999999999E-3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1">
        <v>0</v>
      </c>
    </row>
    <row r="24" spans="1:26" ht="15.75" customHeight="1" x14ac:dyDescent="0.25">
      <c r="A24" s="49" t="s">
        <v>36</v>
      </c>
      <c r="B24" s="43" t="s">
        <v>38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1">
        <v>0</v>
      </c>
    </row>
    <row r="25" spans="1:26" ht="13.8" customHeight="1" x14ac:dyDescent="0.25">
      <c r="A25" s="49" t="s">
        <v>39</v>
      </c>
      <c r="B25" s="43" t="s">
        <v>37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1.4200000000000001E-2</v>
      </c>
      <c r="J25" s="50">
        <v>5.67E-2</v>
      </c>
      <c r="K25" s="50">
        <v>0.1074</v>
      </c>
      <c r="L25" s="50">
        <v>0.1515</v>
      </c>
      <c r="M25" s="50">
        <v>0.17449999999999999</v>
      </c>
      <c r="N25" s="50">
        <v>0.18049999999999999</v>
      </c>
      <c r="O25" s="50">
        <v>0.17549999999999999</v>
      </c>
      <c r="P25" s="50">
        <v>0.152</v>
      </c>
      <c r="Q25" s="50">
        <v>0.1115</v>
      </c>
      <c r="R25" s="50">
        <v>4.3200000000000002E-2</v>
      </c>
      <c r="S25" s="50">
        <v>9.5999999999999992E-3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1">
        <v>0</v>
      </c>
    </row>
    <row r="26" spans="1:26" ht="15.75" customHeight="1" x14ac:dyDescent="0.25">
      <c r="A26" s="49" t="s">
        <v>39</v>
      </c>
      <c r="B26" s="43" t="s">
        <v>38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1">
        <v>0</v>
      </c>
    </row>
    <row r="27" spans="1:26" ht="15.75" customHeight="1" x14ac:dyDescent="0.25">
      <c r="A27" s="49" t="s">
        <v>40</v>
      </c>
      <c r="B27" s="43" t="s">
        <v>37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1.2999999999999999E-2</v>
      </c>
      <c r="J27" s="50">
        <v>3.7900000000000003E-2</v>
      </c>
      <c r="K27" s="50">
        <v>7.7899999999999997E-2</v>
      </c>
      <c r="L27" s="50">
        <v>0.1305</v>
      </c>
      <c r="M27" s="50">
        <v>0.14369999999999999</v>
      </c>
      <c r="N27" s="50">
        <v>0.1457</v>
      </c>
      <c r="O27" s="50">
        <v>0.12130000000000001</v>
      </c>
      <c r="P27" s="50">
        <v>0.12039999999999999</v>
      </c>
      <c r="Q27" s="50">
        <v>9.06E-2</v>
      </c>
      <c r="R27" s="50">
        <v>5.7099999999999998E-2</v>
      </c>
      <c r="S27" s="50">
        <v>2.2800000000000001E-2</v>
      </c>
      <c r="T27" s="50">
        <v>6.9999999999999999E-4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1">
        <v>0</v>
      </c>
    </row>
    <row r="28" spans="1:26" ht="15.75" customHeight="1" x14ac:dyDescent="0.25">
      <c r="A28" s="49" t="s">
        <v>40</v>
      </c>
      <c r="B28" s="43" t="s">
        <v>38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3.7000000000000002E-3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1">
        <v>0</v>
      </c>
    </row>
    <row r="29" spans="1:26" ht="15.75" customHeight="1" x14ac:dyDescent="0.25">
      <c r="A29" s="49" t="s">
        <v>41</v>
      </c>
      <c r="B29" s="43" t="s">
        <v>37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1.6000000000000001E-3</v>
      </c>
      <c r="J29" s="50">
        <v>2.1000000000000001E-2</v>
      </c>
      <c r="K29" s="50">
        <v>3.3399999999999999E-2</v>
      </c>
      <c r="L29" s="50">
        <v>4.6699999999999998E-2</v>
      </c>
      <c r="M29" s="50">
        <v>5.6099999999999997E-2</v>
      </c>
      <c r="N29" s="50">
        <v>6.59E-2</v>
      </c>
      <c r="O29" s="50">
        <v>5.8400000000000001E-2</v>
      </c>
      <c r="P29" s="50">
        <v>5.5100000000000003E-2</v>
      </c>
      <c r="Q29" s="50">
        <v>4.24E-2</v>
      </c>
      <c r="R29" s="50">
        <v>2.5600000000000001E-2</v>
      </c>
      <c r="S29" s="50">
        <v>1.23E-2</v>
      </c>
      <c r="T29" s="50">
        <v>4.0000000000000002E-4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1">
        <v>0</v>
      </c>
    </row>
    <row r="30" spans="1:26" ht="15.75" customHeight="1" x14ac:dyDescent="0.25">
      <c r="A30" s="49" t="s">
        <v>41</v>
      </c>
      <c r="B30" s="43" t="s">
        <v>38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1">
        <v>0</v>
      </c>
    </row>
    <row r="31" spans="1:26" ht="15.75" customHeight="1" x14ac:dyDescent="0.25">
      <c r="A31" s="49" t="s">
        <v>42</v>
      </c>
      <c r="B31" s="43" t="s">
        <v>37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3.8999999999999998E-3</v>
      </c>
      <c r="J31" s="50">
        <v>2.8400000000000002E-2</v>
      </c>
      <c r="K31" s="50">
        <v>4.7699999999999999E-2</v>
      </c>
      <c r="L31" s="50">
        <v>4.65E-2</v>
      </c>
      <c r="M31" s="50">
        <v>0.05</v>
      </c>
      <c r="N31" s="50">
        <v>6.7699999999999996E-2</v>
      </c>
      <c r="O31" s="50">
        <v>6.8500000000000005E-2</v>
      </c>
      <c r="P31" s="50">
        <v>5.4600000000000003E-2</v>
      </c>
      <c r="Q31" s="50">
        <v>9.4000000000000004E-3</v>
      </c>
      <c r="R31" s="50">
        <v>7.0000000000000001E-3</v>
      </c>
      <c r="S31" s="50">
        <v>4.8999999999999998E-3</v>
      </c>
      <c r="T31" s="50">
        <v>2.0000000000000001E-4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1">
        <v>0</v>
      </c>
    </row>
    <row r="32" spans="1:26" ht="15.75" customHeight="1" x14ac:dyDescent="0.25">
      <c r="A32" s="49" t="s">
        <v>42</v>
      </c>
      <c r="B32" s="43" t="s">
        <v>38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1">
        <v>0</v>
      </c>
    </row>
    <row r="33" spans="1:26" ht="15.75" customHeight="1" x14ac:dyDescent="0.25">
      <c r="A33" s="49" t="s">
        <v>43</v>
      </c>
      <c r="B33" s="43" t="s">
        <v>37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3.0000000000000001E-3</v>
      </c>
      <c r="J33" s="50">
        <v>3.4799999999999998E-2</v>
      </c>
      <c r="K33" s="50">
        <v>6.6100000000000006E-2</v>
      </c>
      <c r="L33" s="50">
        <v>8.6499999999999994E-2</v>
      </c>
      <c r="M33" s="50">
        <v>6.3399999999999998E-2</v>
      </c>
      <c r="N33" s="50">
        <v>7.7600000000000002E-2</v>
      </c>
      <c r="O33" s="50">
        <v>7.4700000000000003E-2</v>
      </c>
      <c r="P33" s="50">
        <v>5.8299999999999998E-2</v>
      </c>
      <c r="Q33" s="50">
        <v>1.14E-2</v>
      </c>
      <c r="R33" s="50">
        <v>1.11E-2</v>
      </c>
      <c r="S33" s="50">
        <v>1.04E-2</v>
      </c>
      <c r="T33" s="50">
        <v>4.0000000000000002E-4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1">
        <v>0</v>
      </c>
    </row>
    <row r="34" spans="1:26" ht="15.75" customHeight="1" x14ac:dyDescent="0.25">
      <c r="A34" s="49" t="s">
        <v>43</v>
      </c>
      <c r="B34" s="43" t="s">
        <v>38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1">
        <v>0</v>
      </c>
    </row>
    <row r="35" spans="1:26" ht="15.75" customHeight="1" x14ac:dyDescent="0.25">
      <c r="A35" s="49" t="s">
        <v>44</v>
      </c>
      <c r="B35" s="43" t="s">
        <v>37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6.4999999999999997E-3</v>
      </c>
      <c r="J35" s="50">
        <v>4.0500000000000001E-2</v>
      </c>
      <c r="K35" s="50">
        <v>9.4700000000000006E-2</v>
      </c>
      <c r="L35" s="50">
        <v>0.1263</v>
      </c>
      <c r="M35" s="50">
        <v>0.1351</v>
      </c>
      <c r="N35" s="50">
        <v>0.14879999999999999</v>
      </c>
      <c r="O35" s="50">
        <v>0.15959999999999999</v>
      </c>
      <c r="P35" s="50">
        <v>0.1288</v>
      </c>
      <c r="Q35" s="50">
        <v>0.10199999999999999</v>
      </c>
      <c r="R35" s="50">
        <v>6.0100000000000001E-2</v>
      </c>
      <c r="S35" s="50">
        <v>1.6E-2</v>
      </c>
      <c r="T35" s="50">
        <v>6.9999999999999999E-4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1">
        <v>0</v>
      </c>
    </row>
    <row r="36" spans="1:26" ht="15.75" customHeight="1" x14ac:dyDescent="0.25">
      <c r="A36" s="49" t="s">
        <v>44</v>
      </c>
      <c r="B36" s="43" t="s">
        <v>38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50">
        <v>0</v>
      </c>
      <c r="P36" s="50">
        <v>0</v>
      </c>
      <c r="Q36" s="50">
        <v>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0</v>
      </c>
      <c r="Y36" s="50">
        <v>0</v>
      </c>
      <c r="Z36" s="51">
        <v>0</v>
      </c>
    </row>
    <row r="37" spans="1:26" ht="15.75" customHeight="1" x14ac:dyDescent="0.25">
      <c r="A37" s="49" t="s">
        <v>45</v>
      </c>
      <c r="B37" s="43" t="s">
        <v>37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6.4999999999999997E-3</v>
      </c>
      <c r="J37" s="50">
        <v>4.0500000000000001E-2</v>
      </c>
      <c r="K37" s="50">
        <v>9.4700000000000006E-2</v>
      </c>
      <c r="L37" s="50">
        <v>0.1263</v>
      </c>
      <c r="M37" s="50">
        <v>0.1351</v>
      </c>
      <c r="N37" s="50">
        <v>0.14879999999999999</v>
      </c>
      <c r="O37" s="50">
        <v>0.15959999999999999</v>
      </c>
      <c r="P37" s="50">
        <v>0.1288</v>
      </c>
      <c r="Q37" s="50">
        <v>0.10199999999999999</v>
      </c>
      <c r="R37" s="50">
        <v>6.0100000000000001E-2</v>
      </c>
      <c r="S37" s="50">
        <v>1.6E-2</v>
      </c>
      <c r="T37" s="50">
        <v>6.9999999999999999E-4</v>
      </c>
      <c r="U37" s="50">
        <v>0</v>
      </c>
      <c r="V37" s="50">
        <v>0</v>
      </c>
      <c r="W37" s="50">
        <v>0</v>
      </c>
      <c r="X37" s="50">
        <v>0</v>
      </c>
      <c r="Y37" s="50">
        <v>0</v>
      </c>
      <c r="Z37" s="51">
        <v>0</v>
      </c>
    </row>
    <row r="38" spans="1:26" ht="15.75" customHeight="1" x14ac:dyDescent="0.25">
      <c r="A38" s="49" t="s">
        <v>45</v>
      </c>
      <c r="B38" s="43" t="s">
        <v>38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50">
        <v>0</v>
      </c>
      <c r="P38" s="50">
        <v>0</v>
      </c>
      <c r="Q38" s="50">
        <v>0</v>
      </c>
      <c r="R38" s="50">
        <v>0</v>
      </c>
      <c r="S38" s="50">
        <v>0</v>
      </c>
      <c r="T38" s="50">
        <v>0</v>
      </c>
      <c r="U38" s="50">
        <v>0</v>
      </c>
      <c r="V38" s="50">
        <v>0</v>
      </c>
      <c r="W38" s="50">
        <v>0</v>
      </c>
      <c r="X38" s="50">
        <v>0</v>
      </c>
      <c r="Y38" s="50">
        <v>0</v>
      </c>
      <c r="Z38" s="51">
        <v>0</v>
      </c>
    </row>
    <row r="39" spans="1:26" ht="15.75" customHeight="1" x14ac:dyDescent="0.25">
      <c r="A39" s="49" t="s">
        <v>46</v>
      </c>
      <c r="B39" s="43" t="s">
        <v>37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6.4999999999999997E-3</v>
      </c>
      <c r="J39" s="50">
        <v>4.0500000000000001E-2</v>
      </c>
      <c r="K39" s="50">
        <v>9.4700000000000006E-2</v>
      </c>
      <c r="L39" s="50">
        <v>0.1263</v>
      </c>
      <c r="M39" s="50">
        <v>0.1351</v>
      </c>
      <c r="N39" s="50">
        <v>0.14879999999999999</v>
      </c>
      <c r="O39" s="50">
        <v>0.15959999999999999</v>
      </c>
      <c r="P39" s="50">
        <v>0.1288</v>
      </c>
      <c r="Q39" s="50">
        <v>0.10199999999999999</v>
      </c>
      <c r="R39" s="50">
        <v>6.0100000000000001E-2</v>
      </c>
      <c r="S39" s="50">
        <v>1.6E-2</v>
      </c>
      <c r="T39" s="50">
        <v>6.9999999999999999E-4</v>
      </c>
      <c r="U39" s="50">
        <v>0</v>
      </c>
      <c r="V39" s="50">
        <v>0</v>
      </c>
      <c r="W39" s="50">
        <v>0</v>
      </c>
      <c r="X39" s="50">
        <v>0</v>
      </c>
      <c r="Y39" s="50">
        <v>0</v>
      </c>
      <c r="Z39" s="51">
        <v>0</v>
      </c>
    </row>
    <row r="40" spans="1:26" ht="15.75" customHeight="1" x14ac:dyDescent="0.25">
      <c r="A40" s="49" t="s">
        <v>46</v>
      </c>
      <c r="B40" s="43" t="s">
        <v>38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  <c r="Q40" s="50">
        <v>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0</v>
      </c>
      <c r="Y40" s="50">
        <v>0</v>
      </c>
      <c r="Z40" s="51">
        <v>0</v>
      </c>
    </row>
    <row r="41" spans="1:26" ht="15.75" customHeight="1" x14ac:dyDescent="0.25">
      <c r="A41" s="49" t="s">
        <v>47</v>
      </c>
      <c r="B41" s="43" t="s">
        <v>37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6.4999999999999997E-3</v>
      </c>
      <c r="J41" s="50">
        <v>4.0500000000000001E-2</v>
      </c>
      <c r="K41" s="50">
        <v>9.4700000000000006E-2</v>
      </c>
      <c r="L41" s="50">
        <v>0.1263</v>
      </c>
      <c r="M41" s="50">
        <v>0.1351</v>
      </c>
      <c r="N41" s="50">
        <v>0.14879999999999999</v>
      </c>
      <c r="O41" s="50">
        <v>0.15959999999999999</v>
      </c>
      <c r="P41" s="50">
        <v>0.1288</v>
      </c>
      <c r="Q41" s="50">
        <v>0.10199999999999999</v>
      </c>
      <c r="R41" s="50">
        <v>6.0100000000000001E-2</v>
      </c>
      <c r="S41" s="50">
        <v>1.6E-2</v>
      </c>
      <c r="T41" s="50">
        <v>6.9999999999999999E-4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  <c r="Z41" s="51">
        <v>0</v>
      </c>
    </row>
    <row r="42" spans="1:26" ht="15.75" customHeight="1" x14ac:dyDescent="0.25">
      <c r="A42" s="49" t="s">
        <v>47</v>
      </c>
      <c r="B42" s="43" t="s">
        <v>38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0</v>
      </c>
      <c r="Y42" s="50">
        <v>0</v>
      </c>
      <c r="Z42" s="51">
        <v>0</v>
      </c>
    </row>
    <row r="43" spans="1:26" ht="15.75" customHeight="1" x14ac:dyDescent="0.25">
      <c r="A43" s="49" t="s">
        <v>48</v>
      </c>
      <c r="B43" s="43" t="s">
        <v>37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6.4999999999999997E-3</v>
      </c>
      <c r="J43" s="50">
        <v>4.0500000000000001E-2</v>
      </c>
      <c r="K43" s="50">
        <v>9.4700000000000006E-2</v>
      </c>
      <c r="L43" s="50">
        <v>0.1263</v>
      </c>
      <c r="M43" s="50">
        <v>0.1351</v>
      </c>
      <c r="N43" s="50">
        <v>0.14879999999999999</v>
      </c>
      <c r="O43" s="50">
        <v>0.15959999999999999</v>
      </c>
      <c r="P43" s="50">
        <v>0.1288</v>
      </c>
      <c r="Q43" s="50">
        <v>0.10199999999999999</v>
      </c>
      <c r="R43" s="50">
        <v>6.0100000000000001E-2</v>
      </c>
      <c r="S43" s="50">
        <v>1.6E-2</v>
      </c>
      <c r="T43" s="50">
        <v>6.9999999999999999E-4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1">
        <v>0</v>
      </c>
    </row>
    <row r="44" spans="1:26" ht="15.75" customHeight="1" thickBot="1" x14ac:dyDescent="0.3">
      <c r="A44" s="52" t="s">
        <v>48</v>
      </c>
      <c r="B44" s="44" t="s">
        <v>38</v>
      </c>
      <c r="C44" s="53">
        <v>0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4">
        <v>0</v>
      </c>
    </row>
    <row r="45" spans="1:26" ht="15.75" customHeight="1" x14ac:dyDescent="0.25"/>
    <row r="46" spans="1:26" ht="15.75" customHeight="1" x14ac:dyDescent="0.25"/>
    <row r="47" spans="1:26" ht="15.75" customHeight="1" x14ac:dyDescent="0.25"/>
    <row r="48" spans="1:2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3.8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7">
    <mergeCell ref="C10:Z10"/>
    <mergeCell ref="A21:Z21"/>
    <mergeCell ref="C1:Z1"/>
    <mergeCell ref="B1:B2"/>
    <mergeCell ref="B10:B11"/>
    <mergeCell ref="A10:A18"/>
    <mergeCell ref="A1:A7"/>
  </mergeCells>
  <conditionalFormatting sqref="B23:Z44">
    <cfRule type="cellIs" dxfId="25" priority="1" operator="greaterThan">
      <formula>#REF!</formula>
    </cfRule>
    <cfRule type="cellIs" dxfId="24" priority="2" operator="lessThan">
      <formula>0</formula>
    </cfRule>
  </conditionalFormatting>
  <conditionalFormatting sqref="C3:Z7">
    <cfRule type="cellIs" dxfId="23" priority="75" operator="lessThan">
      <formula>0</formula>
    </cfRule>
    <cfRule type="cellIs" dxfId="22" priority="76" operator="greaterThan">
      <formula>#REF!</formula>
    </cfRule>
  </conditionalFormatting>
  <conditionalFormatting sqref="C12:Z18">
    <cfRule type="cellIs" dxfId="21" priority="5" operator="greaterThan">
      <formula>#REF!</formula>
    </cfRule>
    <cfRule type="cellIs" dxfId="20" priority="6" operator="lessThan">
      <formula>0</formula>
    </cfRule>
  </conditionalFormatting>
  <conditionalFormatting sqref="C73:Z79">
    <cfRule type="cellIs" dxfId="19" priority="63" operator="lessThan">
      <formula>0</formula>
    </cfRule>
    <cfRule type="cellIs" dxfId="18" priority="64" operator="greaterThan">
      <formula>#REF!</formula>
    </cfRule>
  </conditionalFormatting>
  <conditionalFormatting sqref="C112:Z118">
    <cfRule type="cellIs" dxfId="17" priority="35" operator="lessThan">
      <formula>0</formula>
    </cfRule>
    <cfRule type="cellIs" dxfId="16" priority="36" operator="greaterThan">
      <formula>#REF!</formula>
    </cfRule>
  </conditionalFormatting>
  <conditionalFormatting sqref="C122:Z125">
    <cfRule type="cellIs" dxfId="15" priority="83" operator="lessThan">
      <formula>0</formula>
    </cfRule>
    <cfRule type="cellIs" dxfId="14" priority="84" operator="greaterThan">
      <formula>#REF!</formula>
    </cfRule>
  </conditionalFormatting>
  <conditionalFormatting sqref="E8:AB8">
    <cfRule type="cellIs" dxfId="13" priority="27" operator="lessThan">
      <formula>0</formula>
    </cfRule>
    <cfRule type="cellIs" dxfId="12" priority="28" operator="greaterThan">
      <formula>#REF!</formula>
    </cfRule>
  </conditionalFormatting>
  <conditionalFormatting sqref="V59:Z59">
    <cfRule type="cellIs" dxfId="11" priority="61" operator="lessThan">
      <formula>0</formula>
    </cfRule>
    <cfRule type="cellIs" dxfId="10" priority="62" operator="greaterThan">
      <formula>#REF!</formula>
    </cfRule>
  </conditionalFormatting>
  <conditionalFormatting sqref="V63:Z69">
    <cfRule type="cellIs" dxfId="9" priority="59" operator="lessThan">
      <formula>0</formula>
    </cfRule>
    <cfRule type="cellIs" dxfId="8" priority="60" operator="greaterThan">
      <formula>#REF!</formula>
    </cfRule>
  </conditionalFormatting>
  <conditionalFormatting sqref="V77:Z82">
    <cfRule type="cellIs" dxfId="7" priority="57" operator="lessThan">
      <formula>0</formula>
    </cfRule>
    <cfRule type="cellIs" dxfId="6" priority="58" operator="greaterThan">
      <formula>#REF!</formula>
    </cfRule>
  </conditionalFormatting>
  <conditionalFormatting sqref="V92:Z98">
    <cfRule type="cellIs" dxfId="5" priority="33" operator="lessThan">
      <formula>0</formula>
    </cfRule>
    <cfRule type="cellIs" dxfId="4" priority="34" operator="greaterThan">
      <formula>#REF!</formula>
    </cfRule>
  </conditionalFormatting>
  <conditionalFormatting sqref="V102:Z108">
    <cfRule type="cellIs" dxfId="3" priority="31" operator="lessThan">
      <formula>0</formula>
    </cfRule>
    <cfRule type="cellIs" dxfId="2" priority="32" operator="greaterThan">
      <formula>#REF!</formula>
    </cfRule>
  </conditionalFormatting>
  <conditionalFormatting sqref="V116:Z122">
    <cfRule type="cellIs" dxfId="1" priority="29" operator="lessThan">
      <formula>0</formula>
    </cfRule>
    <cfRule type="cellIs" dxfId="0" priority="30" operator="greaterThan">
      <formula>#REF!</formula>
    </cfRule>
  </conditionalFormatting>
  <pageMargins left="0.7" right="0.7" top="0.75" bottom="0.75" header="0.3" footer="0.3"/>
  <pageSetup paperSize="9" orientation="portrait"/>
  <headerFooter>
    <oddHeader>&amp;L&amp;"Arial"&amp;8&amp;K000000 INTERNAL&amp;1#_x000D_&amp;"Arial"&amp;11&amp;K000000&amp;"Arial"&amp;1 &amp;K000000 INTERNAL#_x000D_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Arkusz2</vt:lpstr>
      <vt:lpstr>Arkusz3</vt:lpstr>
      <vt:lpstr>Grafiki generacji</vt:lpstr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Madry, Dawid (VGP)</cp:lastModifiedBy>
  <dcterms:created xsi:type="dcterms:W3CDTF">2025-07-10T08:03:13Z</dcterms:created>
  <dcterms:modified xsi:type="dcterms:W3CDTF">2025-11-06T07:56:01Z</dcterms:modified>
</cp:coreProperties>
</file>